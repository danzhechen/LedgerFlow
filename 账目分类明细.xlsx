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urnal_to_ledger" sheetId="1" state="visible" r:id="rId1"/>
    <sheet xmlns:r="http://schemas.openxmlformats.org/officeDocument/2006/relationships" name="ledger_new" sheetId="2" state="visible" r:id="rId2"/>
    <sheet xmlns:r="http://schemas.openxmlformats.org/officeDocument/2006/relationships" name="ledger_old" sheetId="3" state="visible" r:id="rId3"/>
    <sheet xmlns:r="http://schemas.openxmlformats.org/officeDocument/2006/relationships" name="journal" sheetId="4" state="visible" r:id="rId4"/>
  </sheets>
  <definedNames>
    <definedName name="_xlnm._FilterDatabase" localSheetId="0" hidden="1">'journal_to_ledger'!$A$2:$H$199</definedName>
    <definedName name="_xlnm._FilterDatabase" localSheetId="2" hidden="1">'ledger_old'!$A$2:$C$106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color theme="1"/>
      <sz val="10"/>
      <scheme val="minor"/>
    </font>
    <font>
      <name val="&quot;Aptos Narrow&quot;"/>
      <color rgb="FF000000"/>
      <sz val="10"/>
    </font>
    <font>
      <name val="Arial"/>
      <color rgb="FF000000"/>
      <sz val="10"/>
    </font>
    <font>
      <name val="Segoe UI"/>
      <color theme="1"/>
      <sz val="10"/>
    </font>
    <font>
      <name val="Arial"/>
      <color theme="1"/>
    </font>
    <font>
      <name val="Arial"/>
      <color theme="1"/>
      <scheme val="minor"/>
    </font>
    <font>
      <name val="Arial"/>
      <color rgb="FF0F1115"/>
      <scheme val="minor"/>
    </font>
    <font>
      <name val="&quot;Aptos Narrow&quot;"/>
      <color rgb="FF000000"/>
      <sz val="11"/>
    </font>
    <font>
      <name val="Arial"/>
      <color rgb="FF000000"/>
    </font>
    <font>
      <name val="Inconsolata"/>
      <color rgb="FF000000"/>
      <sz val="11"/>
    </font>
    <font>
      <name val="Arial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7" fillId="0" borderId="0" pivotButton="0" quotePrefix="0" xfId="0"/>
    <xf numFmtId="0" fontId="10" fillId="0" borderId="0" applyAlignment="1" pivotButton="0" quotePrefix="0" xfId="0">
      <alignment vertical="bottom"/>
    </xf>
    <xf numFmtId="0" fontId="11" fillId="2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12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B2" authorId="0" shapeId="0">
      <text>
        <t>日记账条目类别</t>
      </text>
    </comment>
    <comment ref="C2" authorId="0" shapeId="0">
      <text>
        <t>会计科目贷方</t>
      </text>
    </comment>
    <comment ref="D2" authorId="0" shapeId="0">
      <text>
        <t xml:space="preserve">会计科目借方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2" authorId="0" shapeId="0">
      <text>
        <t xml:space="preserve">日记账摘要栏
</t>
      </text>
    </comment>
    <comment ref="C2" authorId="0" shapeId="0">
      <text>
        <t xml:space="preserve">根据日记账摘要信息（及其他转账人、收款人信息）判断的账目类别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2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20.75" customWidth="1" style="27" min="2" max="2"/>
    <col width="22.63" customWidth="1" style="27" min="3" max="3"/>
    <col width="22.88" customWidth="1" style="27" min="4" max="4"/>
    <col width="14.88" customWidth="1" style="27" min="5" max="5"/>
    <col width="16.38" customWidth="1" style="27" min="6" max="6"/>
    <col width="17.13" customWidth="1" style="27" min="7" max="7"/>
    <col width="18.25" customWidth="1" style="27" min="8" max="8"/>
    <col hidden="1" width="12.63" customWidth="1" style="27" min="13" max="15"/>
  </cols>
  <sheetData>
    <row r="1">
      <c r="A1" s="5" t="inlineStr">
        <is>
          <t>OLD</t>
        </is>
      </c>
      <c r="B1" s="3" t="n"/>
      <c r="C1" s="3" t="n"/>
      <c r="D1" s="3" t="n"/>
      <c r="E1" s="5" t="inlineStr">
        <is>
          <t>NEW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year</t>
        </is>
      </c>
      <c r="B2" s="3" t="inlineStr">
        <is>
          <t>type</t>
        </is>
      </c>
      <c r="C2" s="3" t="inlineStr">
        <is>
          <t>cr_ledger</t>
        </is>
      </c>
      <c r="D2" s="3" t="inlineStr">
        <is>
          <t>dr_ledger</t>
        </is>
      </c>
      <c r="E2" s="3" t="inlineStr">
        <is>
          <t>type</t>
        </is>
      </c>
      <c r="F2" s="3" t="inlineStr">
        <is>
          <t>cr_ledger</t>
        </is>
      </c>
      <c r="G2" s="3" t="inlineStr">
        <is>
          <t>dr_ledger</t>
        </is>
      </c>
      <c r="H2" s="3" t="inlineStr">
        <is>
          <t>description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5" t="n">
        <v>2021</v>
      </c>
      <c r="B3" s="3" t="inlineStr">
        <is>
          <t>core讲师工资</t>
        </is>
      </c>
      <c r="C3" s="3" t="inlineStr">
        <is>
          <t>银行存款1002</t>
        </is>
      </c>
      <c r="D3" s="3" t="inlineStr">
        <is>
          <t>core讲师工资5501</t>
        </is>
      </c>
      <c r="E3" s="5" t="inlineStr">
        <is>
          <t>支出OL讲师</t>
        </is>
      </c>
      <c r="F3" s="5" t="inlineStr">
        <is>
          <t>银行存款</t>
        </is>
      </c>
      <c r="G3" s="5" t="inlineStr">
        <is>
          <t>支出OL讲师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5" t="n">
        <v>2023</v>
      </c>
      <c r="B4" s="10" t="inlineStr">
        <is>
          <t>OL-奖学金</t>
        </is>
      </c>
      <c r="C4" s="10" t="inlineStr">
        <is>
          <t>銀行存款1002</t>
        </is>
      </c>
      <c r="D4" s="10" t="inlineStr">
        <is>
          <t>OL收入4301</t>
        </is>
      </c>
      <c r="E4" s="3" t="inlineStr">
        <is>
          <t>T-收入OL</t>
        </is>
      </c>
      <c r="F4" s="5" t="inlineStr">
        <is>
          <t>银行存款</t>
        </is>
      </c>
      <c r="G4" s="5" t="inlineStr">
        <is>
          <t>收入OL</t>
        </is>
      </c>
      <c r="H4" s="3" t="n"/>
      <c r="I4" s="3" t="n"/>
      <c r="J4" s="3" t="n"/>
      <c r="K4" s="5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5" t="n">
        <v>2024</v>
      </c>
      <c r="B5" s="10" t="inlineStr">
        <is>
          <t>OL-奖学金</t>
        </is>
      </c>
      <c r="C5" s="10" t="inlineStr">
        <is>
          <t>应付OL奖助2302</t>
        </is>
      </c>
      <c r="D5" s="10" t="inlineStr">
        <is>
          <t>銀行存款1002</t>
        </is>
      </c>
      <c r="E5" s="3" t="inlineStr">
        <is>
          <t>应付OL奖助</t>
        </is>
      </c>
      <c r="F5" s="5" t="inlineStr">
        <is>
          <t>应付OL奖助</t>
        </is>
      </c>
      <c r="G5" s="5" t="inlineStr">
        <is>
          <t>银行存款</t>
        </is>
      </c>
      <c r="H5" s="3" t="n"/>
      <c r="I5" s="3" t="n"/>
      <c r="J5" s="3" t="n"/>
      <c r="K5" s="5" t="n"/>
      <c r="L5" s="3" t="n"/>
      <c r="M5" s="3" t="inlineStr">
        <is>
          <t>OL讲师工资</t>
        </is>
      </c>
      <c r="N5" s="3" t="inlineStr">
        <is>
          <t>银行存款1002</t>
        </is>
      </c>
      <c r="O5" s="3" t="inlineStr">
        <is>
          <t>OL讲师/组委工资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5" t="n">
        <v>2023</v>
      </c>
      <c r="B6" s="10" t="inlineStr">
        <is>
          <t>OL-讲师</t>
        </is>
      </c>
      <c r="C6" s="10" t="inlineStr">
        <is>
          <t>銀行存款1002</t>
        </is>
      </c>
      <c r="D6" s="10" t="inlineStr">
        <is>
          <t>OL讲师工资5401</t>
        </is>
      </c>
      <c r="E6" s="5" t="inlineStr">
        <is>
          <t>支出OL讲师</t>
        </is>
      </c>
      <c r="F6" s="5" t="inlineStr">
        <is>
          <t>银行存款</t>
        </is>
      </c>
      <c r="G6" s="5" t="inlineStr">
        <is>
          <t>支出OL讲师</t>
        </is>
      </c>
      <c r="H6" s="3" t="n"/>
      <c r="I6" s="3" t="n"/>
      <c r="J6" s="3" t="n"/>
      <c r="K6" s="5" t="n"/>
      <c r="L6" s="3" t="n"/>
      <c r="M6" s="3" t="inlineStr">
        <is>
          <t>书院讲师工资</t>
        </is>
      </c>
      <c r="N6" s="3" t="inlineStr">
        <is>
          <t>银行存款1002</t>
        </is>
      </c>
      <c r="O6" s="3" t="inlineStr">
        <is>
          <t>工作坊/书院讲师工资</t>
        </is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5" t="n">
        <v>2021</v>
      </c>
      <c r="B7" s="3" t="inlineStr">
        <is>
          <t>OL-讲师</t>
        </is>
      </c>
      <c r="C7" s="3" t="inlineStr">
        <is>
          <t>银行存款1002</t>
        </is>
      </c>
      <c r="D7" s="3" t="inlineStr">
        <is>
          <t>OL讲师工资5401</t>
        </is>
      </c>
      <c r="E7" s="5" t="inlineStr">
        <is>
          <t>支出OL讲师</t>
        </is>
      </c>
      <c r="F7" s="5" t="inlineStr">
        <is>
          <t>银行存款</t>
        </is>
      </c>
      <c r="G7" s="5" t="inlineStr">
        <is>
          <t>支出OL讲师</t>
        </is>
      </c>
      <c r="H7" s="3" t="n"/>
      <c r="I7" s="3" t="n"/>
      <c r="J7" s="3" t="n"/>
      <c r="K7" s="5" t="n"/>
      <c r="L7" s="3" t="n"/>
      <c r="M7" s="3" t="inlineStr">
        <is>
          <t>书院组委工资</t>
        </is>
      </c>
      <c r="N7" s="3" t="inlineStr">
        <is>
          <t>银行存款1002</t>
        </is>
      </c>
      <c r="O7" s="3" t="inlineStr">
        <is>
          <t>工作坊/书院组委工资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5" t="n">
        <v>2024</v>
      </c>
      <c r="B8" s="10" t="inlineStr">
        <is>
          <t>OL-讲师工资</t>
        </is>
      </c>
      <c r="C8" s="10" t="inlineStr">
        <is>
          <t>銀行存款1002</t>
        </is>
      </c>
      <c r="D8" s="10" t="inlineStr">
        <is>
          <t>OL讲师工资5401</t>
        </is>
      </c>
      <c r="E8" s="5" t="inlineStr">
        <is>
          <t>支出OL讲师</t>
        </is>
      </c>
      <c r="F8" s="5" t="inlineStr">
        <is>
          <t>银行存款</t>
        </is>
      </c>
      <c r="G8" s="5" t="inlineStr">
        <is>
          <t>支出OL讲师</t>
        </is>
      </c>
      <c r="H8" s="3" t="n"/>
      <c r="I8" s="3" t="n"/>
      <c r="J8" s="3" t="n"/>
      <c r="K8" s="5" t="n"/>
      <c r="L8" s="3" t="n"/>
      <c r="M8" s="3" t="inlineStr">
        <is>
          <t>书院-FEE</t>
        </is>
      </c>
      <c r="N8" s="3" t="inlineStr">
        <is>
          <t>银行存款1002</t>
        </is>
      </c>
      <c r="O8" s="3" t="inlineStr">
        <is>
          <t>工作坊/书院活动成本5101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5" t="n">
        <v>2023</v>
      </c>
      <c r="B9" s="10" t="inlineStr">
        <is>
          <t>研讨屋</t>
        </is>
      </c>
      <c r="C9" s="10" t="inlineStr">
        <is>
          <t>銀行存款1002</t>
        </is>
      </c>
      <c r="D9" s="10" t="inlineStr">
        <is>
          <t>业务活动成本5001</t>
        </is>
      </c>
      <c r="E9" s="3" t="inlineStr">
        <is>
          <t>支出内容运营</t>
        </is>
      </c>
      <c r="F9" s="5" t="inlineStr">
        <is>
          <t>银行存款</t>
        </is>
      </c>
      <c r="G9" s="3" t="inlineStr">
        <is>
          <t>支出内容运营</t>
        </is>
      </c>
      <c r="H9" s="3" t="n"/>
      <c r="I9" s="3" t="n"/>
      <c r="J9" s="3" t="n"/>
      <c r="K9" s="5" t="n"/>
      <c r="L9" s="3" t="n"/>
      <c r="M9" s="3" t="inlineStr">
        <is>
          <t>书院讲师报销</t>
        </is>
      </c>
      <c r="N9" s="3" t="inlineStr">
        <is>
          <t>银行存款1002</t>
        </is>
      </c>
      <c r="O9" s="3" t="inlineStr">
        <is>
          <t>工作坊/书院活动成本5101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5" t="n">
        <v>2024</v>
      </c>
      <c r="B10" s="10" t="inlineStr">
        <is>
          <t>聚餐</t>
        </is>
      </c>
      <c r="C10" s="10" t="inlineStr">
        <is>
          <t>銀行存款1002</t>
        </is>
      </c>
      <c r="D10" s="10" t="inlineStr">
        <is>
          <t>业务活动成本5001</t>
        </is>
      </c>
      <c r="E10" s="19" t="inlineStr">
        <is>
          <t>社群维护</t>
        </is>
      </c>
      <c r="F10" s="5" t="inlineStr">
        <is>
          <t>银行存款</t>
        </is>
      </c>
      <c r="G10" s="19" t="inlineStr">
        <is>
          <t>社群维护</t>
        </is>
      </c>
      <c r="H10" s="3" t="n"/>
      <c r="I10" s="3" t="n"/>
      <c r="J10" s="3" t="n"/>
      <c r="K10" s="5" t="n"/>
      <c r="L10" s="3" t="n"/>
      <c r="M10" s="3" t="inlineStr">
        <is>
          <t>Workshop讲师工资</t>
        </is>
      </c>
      <c r="N10" s="3" t="inlineStr">
        <is>
          <t>银行存款1002</t>
        </is>
      </c>
      <c r="O10" s="3" t="inlineStr">
        <is>
          <t>工作坊/书院讲师工资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5" t="n">
        <v>2022</v>
      </c>
      <c r="B11" s="10" t="inlineStr">
        <is>
          <t>运营报销</t>
        </is>
      </c>
      <c r="C11" s="10" t="inlineStr">
        <is>
          <t>銀行存款1002</t>
        </is>
      </c>
      <c r="D11" s="10" t="inlineStr">
        <is>
          <t>业务活动成本5001</t>
        </is>
      </c>
      <c r="E11" s="3" t="inlineStr">
        <is>
          <t>支出内容运营</t>
        </is>
      </c>
      <c r="F11" s="5" t="inlineStr">
        <is>
          <t>银行存款</t>
        </is>
      </c>
      <c r="G11" s="3" t="inlineStr">
        <is>
          <t>支出内容运营</t>
        </is>
      </c>
      <c r="H11" s="3" t="n"/>
      <c r="I11" s="3" t="n"/>
      <c r="J11" s="3" t="n"/>
      <c r="K11" s="5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5" t="n">
        <v>2022</v>
      </c>
      <c r="B12" s="10" t="inlineStr">
        <is>
          <t>通讯</t>
        </is>
      </c>
      <c r="C12" s="10" t="inlineStr">
        <is>
          <t>銀行存款1002</t>
        </is>
      </c>
      <c r="D12" s="10" t="inlineStr">
        <is>
          <t>业务活动成本5001</t>
        </is>
      </c>
      <c r="E12" s="3" t="inlineStr">
        <is>
          <t>支出内容运营</t>
        </is>
      </c>
      <c r="F12" s="5" t="inlineStr">
        <is>
          <t>银行存款</t>
        </is>
      </c>
      <c r="G12" s="3" t="inlineStr">
        <is>
          <t>支出内容运营</t>
        </is>
      </c>
      <c r="H12" s="3" t="n"/>
      <c r="I12" s="3" t="n"/>
      <c r="J12" s="3" t="n"/>
      <c r="K12" s="5" t="n"/>
      <c r="L12" s="3" t="n"/>
      <c r="M12" s="3" t="inlineStr">
        <is>
          <t>Worshop组委工资</t>
        </is>
      </c>
      <c r="N12" s="3" t="inlineStr">
        <is>
          <t>银行存款1002</t>
        </is>
      </c>
      <c r="O12" s="3" t="inlineStr">
        <is>
          <t>工作坊/书院组委工资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5" t="n">
        <v>2020</v>
      </c>
      <c r="B13" s="3" t="inlineStr">
        <is>
          <t>Veitgeist</t>
        </is>
      </c>
      <c r="C13" s="3" t="inlineStr">
        <is>
          <t>银行存款1002</t>
        </is>
      </c>
      <c r="D13" s="3" t="inlineStr">
        <is>
          <t>业务活动成本5101</t>
        </is>
      </c>
      <c r="E13" s="5" t="inlineStr">
        <is>
          <t>支出内容运营</t>
        </is>
      </c>
      <c r="F13" s="5" t="inlineStr">
        <is>
          <t>银行存款</t>
        </is>
      </c>
      <c r="G13" s="5" t="inlineStr">
        <is>
          <t>支出内容运营</t>
        </is>
      </c>
      <c r="H13" s="3" t="n"/>
      <c r="I13" s="3" t="n"/>
      <c r="J13" s="3" t="n"/>
      <c r="K13" s="5" t="n"/>
      <c r="L13" s="3" t="n"/>
      <c r="M13" s="3" t="inlineStr">
        <is>
          <t>Workshop-FEE</t>
        </is>
      </c>
      <c r="N13" s="3" t="inlineStr">
        <is>
          <t>银行存款1002</t>
        </is>
      </c>
      <c r="O13" s="3" t="inlineStr">
        <is>
          <t>工作坊/书院活动成本5101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5" t="n">
        <v>2020</v>
      </c>
      <c r="B14" s="3" t="inlineStr">
        <is>
          <t>wage</t>
        </is>
      </c>
      <c r="C14" s="3" t="inlineStr">
        <is>
          <t>银行存款1002</t>
        </is>
      </c>
      <c r="D14" s="3" t="inlineStr">
        <is>
          <t>业务活动成本5101</t>
        </is>
      </c>
      <c r="E14" s="5" t="inlineStr">
        <is>
          <t>组委工资</t>
        </is>
      </c>
      <c r="F14" s="5" t="inlineStr">
        <is>
          <t>银行存款</t>
        </is>
      </c>
      <c r="G14" s="5" t="inlineStr">
        <is>
          <t>组委工资</t>
        </is>
      </c>
      <c r="H14" s="3" t="n"/>
      <c r="I14" s="3" t="n"/>
      <c r="J14" s="3" t="n"/>
      <c r="K14" s="5" t="n"/>
      <c r="L14" s="3" t="n"/>
      <c r="M14" s="3" t="inlineStr">
        <is>
          <t>研讨屋</t>
        </is>
      </c>
      <c r="N14" s="3" t="inlineStr">
        <is>
          <t>银行存款1002</t>
        </is>
      </c>
      <c r="O14" s="3" t="inlineStr">
        <is>
          <t>工作坊/书院活动成本5101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5" t="n">
        <v>2020</v>
      </c>
      <c r="B15" s="3" t="inlineStr">
        <is>
          <t>Workshop-WAGE</t>
        </is>
      </c>
      <c r="C15" s="3" t="inlineStr">
        <is>
          <t>银行存款1002</t>
        </is>
      </c>
      <c r="D15" s="3" t="inlineStr">
        <is>
          <t>业务活动成本5101</t>
        </is>
      </c>
      <c r="E15" s="5" t="inlineStr">
        <is>
          <t>支出SC组委</t>
        </is>
      </c>
      <c r="F15" s="5" t="inlineStr">
        <is>
          <t>银行存款</t>
        </is>
      </c>
      <c r="G15" s="5" t="inlineStr">
        <is>
          <t>支出SC组委</t>
        </is>
      </c>
      <c r="H15" s="3" t="n"/>
      <c r="I15" s="3" t="n"/>
      <c r="J15" s="3" t="n"/>
      <c r="K15" s="5" t="n"/>
      <c r="L15" s="3" t="n"/>
      <c r="M15" s="3" t="inlineStr">
        <is>
          <t>OL押金</t>
        </is>
      </c>
      <c r="N15" s="3" t="inlineStr">
        <is>
          <t>其他应付款</t>
        </is>
      </c>
      <c r="O15" s="3" t="inlineStr">
        <is>
          <t>银行存款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5" t="n">
        <v>2020</v>
      </c>
      <c r="B16" s="3" t="inlineStr">
        <is>
          <t>报销</t>
        </is>
      </c>
      <c r="C16" s="3" t="inlineStr">
        <is>
          <t>银行存款1002</t>
        </is>
      </c>
      <c r="D16" s="3" t="inlineStr">
        <is>
          <t>业务活动成本5101</t>
        </is>
      </c>
      <c r="E16" s="8" t="inlineStr">
        <is>
          <t>支出SC运营</t>
        </is>
      </c>
      <c r="F16" s="5" t="inlineStr">
        <is>
          <t>银行存款</t>
        </is>
      </c>
      <c r="G16" s="8" t="inlineStr">
        <is>
          <t>支出SC运营</t>
        </is>
      </c>
      <c r="H16" s="3" t="n"/>
      <c r="I16" s="3" t="n"/>
      <c r="J16" s="3" t="n"/>
      <c r="K16" s="5" t="n"/>
      <c r="L16" s="3" t="n"/>
      <c r="M16" s="3" t="inlineStr">
        <is>
          <t>OL押金</t>
        </is>
      </c>
      <c r="N16" s="3" t="inlineStr">
        <is>
          <t>银行存款</t>
        </is>
      </c>
      <c r="O16" s="3" t="inlineStr">
        <is>
          <t>其他应付款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5" t="n">
        <v>2020</v>
      </c>
      <c r="B17" s="3" t="inlineStr">
        <is>
          <t>讲师</t>
        </is>
      </c>
      <c r="C17" s="3" t="inlineStr">
        <is>
          <t>银行存款1002</t>
        </is>
      </c>
      <c r="D17" s="3" t="inlineStr">
        <is>
          <t>业务活动成本5101</t>
        </is>
      </c>
      <c r="E17" s="5" t="inlineStr">
        <is>
          <t>支出OL讲师</t>
        </is>
      </c>
      <c r="F17" s="5" t="inlineStr">
        <is>
          <t>银行存款</t>
        </is>
      </c>
      <c r="G17" s="5" t="inlineStr">
        <is>
          <t>支出OL讲师</t>
        </is>
      </c>
      <c r="H17" s="3" t="n"/>
      <c r="I17" s="3" t="n"/>
      <c r="J17" s="3" t="n"/>
      <c r="K17" s="5" t="n"/>
      <c r="L17" s="3" t="n"/>
      <c r="M17" s="3" t="inlineStr">
        <is>
          <t>OL退费</t>
        </is>
      </c>
      <c r="N17" s="3" t="inlineStr">
        <is>
          <t>银行存款1002</t>
        </is>
      </c>
      <c r="O17" s="3" t="inlineStr">
        <is>
          <t>提供服务收入4301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5" t="n">
        <v>2024</v>
      </c>
      <c r="B18" s="10" t="inlineStr">
        <is>
          <t>书院住宿</t>
        </is>
      </c>
      <c r="C18" s="10" t="inlineStr">
        <is>
          <t>銀行存款1002</t>
        </is>
      </c>
      <c r="D18" s="10" t="inlineStr">
        <is>
          <t>书院讲师组委工资5301</t>
        </is>
      </c>
      <c r="E18" s="8" t="inlineStr">
        <is>
          <t>支出SC运营</t>
        </is>
      </c>
      <c r="F18" s="5" t="inlineStr">
        <is>
          <t>银行存款</t>
        </is>
      </c>
      <c r="G18" s="8" t="inlineStr">
        <is>
          <t>支出SC运营</t>
        </is>
      </c>
      <c r="H18" s="3" t="n"/>
      <c r="I18" s="3" t="n"/>
      <c r="J18" s="3" t="n"/>
      <c r="K18" s="5" t="n"/>
      <c r="L18" s="3" t="n"/>
      <c r="M18" s="3" t="inlineStr">
        <is>
          <t>Workshop退费</t>
        </is>
      </c>
      <c r="N18" s="3" t="inlineStr">
        <is>
          <t>银行存款1002</t>
        </is>
      </c>
      <c r="O18" s="3" t="inlineStr">
        <is>
          <t>提供服务收入4301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5" t="n">
        <v>2024</v>
      </c>
      <c r="B19" s="10" t="inlineStr">
        <is>
          <t>书院工资</t>
        </is>
      </c>
      <c r="C19" s="10" t="inlineStr">
        <is>
          <t>銀行存款1002</t>
        </is>
      </c>
      <c r="D19" s="10" t="inlineStr">
        <is>
          <t>书院讲师组委工资5301</t>
        </is>
      </c>
      <c r="E19" s="5" t="inlineStr">
        <is>
          <t>支出SC讲师</t>
        </is>
      </c>
      <c r="F19" s="5" t="inlineStr">
        <is>
          <t>银行存款</t>
        </is>
      </c>
      <c r="G19" s="5" t="inlineStr">
        <is>
          <t>支出SC讲师</t>
        </is>
      </c>
      <c r="H19" s="3" t="n"/>
      <c r="I19" s="3" t="n"/>
      <c r="J19" s="3" t="n"/>
      <c r="K19" s="5" t="n"/>
      <c r="L19" s="3" t="n"/>
      <c r="M19" s="3" t="inlineStr">
        <is>
          <t>书院退费</t>
        </is>
      </c>
      <c r="N19" s="3" t="inlineStr">
        <is>
          <t>银行存款1002</t>
        </is>
      </c>
      <c r="O19" s="3" t="inlineStr">
        <is>
          <t>提供服务收入4301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27">
      <c r="A20" s="5" t="n">
        <v>2024</v>
      </c>
      <c r="B20" s="10" t="inlineStr">
        <is>
          <t>书院报销</t>
        </is>
      </c>
      <c r="C20" s="10" t="inlineStr">
        <is>
          <t>銀行存款1002</t>
        </is>
      </c>
      <c r="D20" s="10" t="inlineStr">
        <is>
          <t>书院运营成本5101</t>
        </is>
      </c>
      <c r="E20" s="5" t="inlineStr">
        <is>
          <t>支出SC运营</t>
        </is>
      </c>
      <c r="F20" s="5" t="inlineStr">
        <is>
          <t>银行存款</t>
        </is>
      </c>
      <c r="G20" s="5" t="inlineStr">
        <is>
          <t>支出SC运营</t>
        </is>
      </c>
      <c r="H20" s="3" t="n"/>
      <c r="I20" s="3" t="n"/>
      <c r="J20" s="3" t="n"/>
      <c r="K20" s="5" t="n"/>
      <c r="L20" s="3" t="n"/>
      <c r="M20" s="3" t="inlineStr">
        <is>
          <t>书院优惠</t>
        </is>
      </c>
      <c r="N20" s="3" t="inlineStr">
        <is>
          <t>其他应付款</t>
        </is>
      </c>
      <c r="O20" s="3" t="inlineStr">
        <is>
          <t>银行存款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5" t="n">
        <v>2024</v>
      </c>
      <c r="B21" s="10" t="inlineStr">
        <is>
          <t>书院场地</t>
        </is>
      </c>
      <c r="C21" s="10" t="inlineStr">
        <is>
          <t>銀行存款1002</t>
        </is>
      </c>
      <c r="D21" s="10" t="inlineStr">
        <is>
          <t>书院运营成本5101</t>
        </is>
      </c>
      <c r="E21" s="8" t="inlineStr">
        <is>
          <t>支出SC运营</t>
        </is>
      </c>
      <c r="F21" s="5" t="inlineStr">
        <is>
          <t>银行存款</t>
        </is>
      </c>
      <c r="G21" s="8" t="inlineStr">
        <is>
          <t>支出SC运营</t>
        </is>
      </c>
      <c r="H21" s="3" t="n"/>
      <c r="I21" s="3" t="n"/>
      <c r="J21" s="3" t="n"/>
      <c r="K21" s="5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5" t="n">
        <v>2024</v>
      </c>
      <c r="B22" s="10" t="inlineStr">
        <is>
          <t>书院运营</t>
        </is>
      </c>
      <c r="C22" s="10" t="inlineStr">
        <is>
          <t>銀行存款1002</t>
        </is>
      </c>
      <c r="D22" s="10" t="inlineStr">
        <is>
          <t>书院运营成本5101</t>
        </is>
      </c>
      <c r="E22" s="8" t="inlineStr">
        <is>
          <t>支出SC运营</t>
        </is>
      </c>
      <c r="F22" s="5" t="inlineStr">
        <is>
          <t>银行存款</t>
        </is>
      </c>
      <c r="G22" s="8" t="inlineStr">
        <is>
          <t>支出SC运营</t>
        </is>
      </c>
      <c r="H22" s="3" t="n"/>
      <c r="I22" s="3" t="n"/>
      <c r="J22" s="3" t="n"/>
      <c r="K22" s="5" t="n"/>
      <c r="L22" s="3" t="n"/>
      <c r="M22" s="3" t="inlineStr">
        <is>
          <t>网站</t>
        </is>
      </c>
      <c r="N22" s="3" t="inlineStr">
        <is>
          <t>银行存款1002</t>
        </is>
      </c>
      <c r="O22" s="3" t="inlineStr">
        <is>
          <t>管理费用5201</t>
        </is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5" t="n">
        <v>2020</v>
      </c>
      <c r="B23" s="3" t="inlineStr">
        <is>
          <t>OL-D</t>
        </is>
      </c>
      <c r="C23" s="3" t="inlineStr">
        <is>
          <t>银行存款1002</t>
        </is>
      </c>
      <c r="D23" s="3" t="inlineStr">
        <is>
          <t>其他应付款2209</t>
        </is>
      </c>
      <c r="E23" s="3" t="inlineStr">
        <is>
          <t>T-应付OL押金</t>
        </is>
      </c>
      <c r="F23" s="5" t="inlineStr">
        <is>
          <t>银行存款</t>
        </is>
      </c>
      <c r="G23" s="5" t="inlineStr">
        <is>
          <t>应付OL押金</t>
        </is>
      </c>
      <c r="H23" s="3" t="n"/>
      <c r="I23" s="3" t="n"/>
      <c r="J23" s="3" t="n"/>
      <c r="K23" s="5" t="n"/>
      <c r="L23" s="3" t="n"/>
      <c r="M23" s="3" t="inlineStr">
        <is>
          <t>服务费</t>
        </is>
      </c>
      <c r="N23" s="3" t="inlineStr">
        <is>
          <t>银行存款1002</t>
        </is>
      </c>
      <c r="O23" s="3" t="inlineStr">
        <is>
          <t>管理费用5201</t>
        </is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5" t="n">
        <v>2021</v>
      </c>
      <c r="B24" s="3" t="inlineStr">
        <is>
          <t>OL-D</t>
        </is>
      </c>
      <c r="C24" s="3" t="inlineStr">
        <is>
          <t>银行存款1002</t>
        </is>
      </c>
      <c r="D24" s="3" t="inlineStr">
        <is>
          <t>其他应付款2209</t>
        </is>
      </c>
      <c r="E24" s="3" t="inlineStr">
        <is>
          <t>T-应付OL押金</t>
        </is>
      </c>
      <c r="F24" s="5" t="inlineStr">
        <is>
          <t>银行存款</t>
        </is>
      </c>
      <c r="G24" s="5" t="inlineStr">
        <is>
          <t>应付OL押金</t>
        </is>
      </c>
      <c r="H24" s="3" t="n"/>
      <c r="I24" s="3" t="n"/>
      <c r="J24" s="3" t="n"/>
      <c r="K24" s="3" t="n"/>
      <c r="L24" s="3" t="n"/>
      <c r="M24" s="3" t="inlineStr">
        <is>
          <t>Promo</t>
        </is>
      </c>
      <c r="N24" s="3" t="inlineStr">
        <is>
          <t>银行存款1002</t>
        </is>
      </c>
      <c r="O24" s="3" t="inlineStr">
        <is>
          <t>管理费用5201</t>
        </is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5" t="n">
        <v>2022</v>
      </c>
      <c r="B25" s="10" t="inlineStr">
        <is>
          <t>OL-D</t>
        </is>
      </c>
      <c r="C25" s="10" t="inlineStr">
        <is>
          <t>銀行存款1002</t>
        </is>
      </c>
      <c r="D25" s="10" t="inlineStr">
        <is>
          <t>其他應付款(押金)2209</t>
        </is>
      </c>
      <c r="E25" s="8" t="inlineStr">
        <is>
          <t>应付OL押金</t>
        </is>
      </c>
      <c r="F25" s="5" t="inlineStr">
        <is>
          <t>银行存款</t>
        </is>
      </c>
      <c r="G25" s="8" t="inlineStr">
        <is>
          <t>应付OL押金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5" t="n">
        <v>2023</v>
      </c>
      <c r="B26" s="10" t="inlineStr">
        <is>
          <t>OL-D</t>
        </is>
      </c>
      <c r="C26" s="10" t="inlineStr">
        <is>
          <t>銀行存款1002</t>
        </is>
      </c>
      <c r="D26" s="10" t="inlineStr">
        <is>
          <t>其他應付款(押金)2209</t>
        </is>
      </c>
      <c r="E26" s="8" t="inlineStr">
        <is>
          <t>应付OL押金</t>
        </is>
      </c>
      <c r="F26" s="5" t="inlineStr">
        <is>
          <t>银行存款</t>
        </is>
      </c>
      <c r="G26" s="8" t="inlineStr">
        <is>
          <t>应付OL押金</t>
        </is>
      </c>
      <c r="H26" s="3" t="n"/>
      <c r="I26" s="3" t="n"/>
      <c r="J26" s="3" t="n"/>
      <c r="K26" s="3" t="n"/>
      <c r="L26" s="3" t="n"/>
      <c r="M26" s="3" t="inlineStr">
        <is>
          <t>退税</t>
        </is>
      </c>
      <c r="N26" s="3" t="inlineStr">
        <is>
          <t>应交税金2206</t>
        </is>
      </c>
      <c r="O26" s="3" t="inlineStr">
        <is>
          <t>银行存款1002</t>
        </is>
      </c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5" t="n">
        <v>2024</v>
      </c>
      <c r="B27" s="10" t="inlineStr">
        <is>
          <t>OL-D</t>
        </is>
      </c>
      <c r="C27" s="10" t="inlineStr">
        <is>
          <t>銀行存款1002</t>
        </is>
      </c>
      <c r="D27" s="10" t="inlineStr">
        <is>
          <t>其他應付款(押金)2209</t>
        </is>
      </c>
      <c r="E27" s="8" t="inlineStr">
        <is>
          <t>应付OL押金</t>
        </is>
      </c>
      <c r="F27" s="5" t="inlineStr">
        <is>
          <t>银行存款</t>
        </is>
      </c>
      <c r="G27" s="8" t="inlineStr">
        <is>
          <t>应付OL押金</t>
        </is>
      </c>
      <c r="H27" s="3" t="n"/>
      <c r="I27" s="3" t="n"/>
      <c r="J27" s="3" t="n"/>
      <c r="K27" s="3" t="n"/>
      <c r="L27" s="3" t="n"/>
      <c r="M27" s="3" t="inlineStr">
        <is>
          <t>权益变动</t>
        </is>
      </c>
      <c r="N27" s="3" t="inlineStr">
        <is>
          <t>非限定性净资产3101</t>
        </is>
      </c>
      <c r="O27" s="3" t="inlineStr">
        <is>
          <t>银行存款1002</t>
        </is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5" t="n">
        <v>2023</v>
      </c>
      <c r="B28" s="10" t="inlineStr">
        <is>
          <t>OL-D&amp;OL助学金</t>
        </is>
      </c>
      <c r="C28" s="10" t="inlineStr">
        <is>
          <t>銀行存款1002</t>
        </is>
      </c>
      <c r="D28" s="10" t="inlineStr">
        <is>
          <t>其他應付款(押金)2209</t>
        </is>
      </c>
      <c r="E28" s="8" t="inlineStr">
        <is>
          <t>应付OL押金</t>
        </is>
      </c>
      <c r="F28" s="5" t="inlineStr">
        <is>
          <t>银行存款</t>
        </is>
      </c>
      <c r="G28" s="8" t="inlineStr">
        <is>
          <t>应付OL押金</t>
        </is>
      </c>
      <c r="H28" s="3" t="n"/>
      <c r="I28" s="3" t="n"/>
      <c r="J28" s="3" t="n"/>
      <c r="K28" s="3" t="n"/>
      <c r="L28" s="3" t="n"/>
      <c r="M28" s="3" t="inlineStr">
        <is>
          <t>转账</t>
        </is>
      </c>
      <c r="N28" s="3" t="inlineStr">
        <is>
          <t>银行存款1002</t>
        </is>
      </c>
      <c r="O28" s="3" t="inlineStr">
        <is>
          <t>银行存款1002</t>
        </is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5" t="n">
        <v>2024</v>
      </c>
      <c r="B29" s="10" t="inlineStr">
        <is>
          <t>换汇-3000刀</t>
        </is>
      </c>
      <c r="C29" s="10" t="inlineStr">
        <is>
          <t>銀行存款1002</t>
        </is>
      </c>
      <c r="D29" s="7" t="inlineStr">
        <is>
          <t>其他貨幣資金1009</t>
        </is>
      </c>
      <c r="E29" s="8" t="inlineStr">
        <is>
          <t>银行存款</t>
        </is>
      </c>
      <c r="F29" s="8" t="inlineStr">
        <is>
          <t>银行存款</t>
        </is>
      </c>
      <c r="G29" s="8" t="inlineStr">
        <is>
          <t>其他货币资金</t>
        </is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5" t="n">
        <v>2023</v>
      </c>
      <c r="B30" s="10" t="inlineStr">
        <is>
          <t>书院-助学金</t>
        </is>
      </c>
      <c r="C30" s="10" t="inlineStr">
        <is>
          <t>銀行存款1002</t>
        </is>
      </c>
      <c r="D30" s="10" t="inlineStr">
        <is>
          <t>工作坊/书院收入4201</t>
        </is>
      </c>
      <c r="E30" s="8" t="inlineStr">
        <is>
          <t>应付SC奖助</t>
        </is>
      </c>
      <c r="F30" s="5" t="inlineStr">
        <is>
          <t>银行存款</t>
        </is>
      </c>
      <c r="G30" s="8" t="inlineStr">
        <is>
          <t>应付SC奖助</t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5" t="n">
        <v>2021</v>
      </c>
      <c r="B31" s="3" t="inlineStr">
        <is>
          <t>workshop-工资</t>
        </is>
      </c>
      <c r="C31" s="3" t="inlineStr">
        <is>
          <t>银行存款1002</t>
        </is>
      </c>
      <c r="D31" s="3" t="inlineStr">
        <is>
          <t>工作坊讲师工资5301</t>
        </is>
      </c>
      <c r="E31" s="5" t="inlineStr">
        <is>
          <t>支出SC讲师</t>
        </is>
      </c>
      <c r="F31" s="5" t="inlineStr">
        <is>
          <t>银行存款</t>
        </is>
      </c>
      <c r="G31" s="5" t="inlineStr">
        <is>
          <t>支出SC讲师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5" t="n">
        <v>2023</v>
      </c>
      <c r="B32" s="10" t="inlineStr">
        <is>
          <t>书院-组委讲师</t>
        </is>
      </c>
      <c r="C32" s="10" t="inlineStr">
        <is>
          <t>銀行存款1002</t>
        </is>
      </c>
      <c r="D32" s="10" t="inlineStr">
        <is>
          <t>工作坊讲师工资5301</t>
        </is>
      </c>
      <c r="E32" s="5" t="inlineStr">
        <is>
          <t>支出SC组委</t>
        </is>
      </c>
      <c r="F32" s="5" t="inlineStr">
        <is>
          <t>银行存款</t>
        </is>
      </c>
      <c r="G32" s="5" t="inlineStr">
        <is>
          <t>支出SC组委</t>
        </is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5" t="n">
        <v>2023</v>
      </c>
      <c r="B33" s="10" t="inlineStr">
        <is>
          <t>书院-讲师组委</t>
        </is>
      </c>
      <c r="C33" s="10" t="inlineStr">
        <is>
          <t>銀行存款1002</t>
        </is>
      </c>
      <c r="D33" s="10" t="inlineStr">
        <is>
          <t>工作坊讲师工资5301</t>
        </is>
      </c>
      <c r="E33" s="5" t="inlineStr">
        <is>
          <t>支出SC讲师</t>
        </is>
      </c>
      <c r="F33" s="5" t="inlineStr">
        <is>
          <t>银行存款</t>
        </is>
      </c>
      <c r="G33" s="5" t="inlineStr">
        <is>
          <t>支出SC讲师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5" t="n">
        <v>2023</v>
      </c>
      <c r="B34" s="10" t="inlineStr">
        <is>
          <t>书院-运营</t>
        </is>
      </c>
      <c r="C34" s="10" t="inlineStr">
        <is>
          <t>銀行存款1002</t>
        </is>
      </c>
      <c r="D34" s="10" t="inlineStr">
        <is>
          <t>工作坊讲师工资5301</t>
        </is>
      </c>
      <c r="E34" s="8" t="inlineStr">
        <is>
          <t>支出SC运营</t>
        </is>
      </c>
      <c r="F34" s="5" t="inlineStr">
        <is>
          <t>银行存款</t>
        </is>
      </c>
      <c r="G34" s="8" t="inlineStr">
        <is>
          <t>支出SC运营</t>
        </is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5" t="n">
        <v>2023</v>
      </c>
      <c r="B35" s="10" t="inlineStr">
        <is>
          <t>书院-酒店</t>
        </is>
      </c>
      <c r="C35" s="10" t="inlineStr">
        <is>
          <t>銀行存款1002</t>
        </is>
      </c>
      <c r="D35" s="10" t="inlineStr">
        <is>
          <t>工作坊讲师工资5301</t>
        </is>
      </c>
      <c r="E35" s="8" t="inlineStr">
        <is>
          <t>支出SC运营</t>
        </is>
      </c>
      <c r="F35" s="5" t="inlineStr">
        <is>
          <t>银行存款</t>
        </is>
      </c>
      <c r="G35" s="8" t="inlineStr">
        <is>
          <t>支出SC运营</t>
        </is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5" t="n">
        <v>2023</v>
      </c>
      <c r="B36" s="10" t="inlineStr">
        <is>
          <t>?</t>
        </is>
      </c>
      <c r="C36" s="10" t="inlineStr">
        <is>
          <t>銀行存款1002</t>
        </is>
      </c>
      <c r="D36" s="10" t="inlineStr">
        <is>
          <t>工作坊运营成本5101</t>
        </is>
      </c>
      <c r="E36" s="8" t="inlineStr">
        <is>
          <t>支出SC运营</t>
        </is>
      </c>
      <c r="F36" s="5" t="inlineStr">
        <is>
          <t>银行存款</t>
        </is>
      </c>
      <c r="G36" s="8" t="inlineStr">
        <is>
          <t>支出SC运营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5" t="n">
        <v>2023</v>
      </c>
      <c r="B37" s="10" t="inlineStr">
        <is>
          <t>书院-物料</t>
        </is>
      </c>
      <c r="C37" s="10" t="inlineStr">
        <is>
          <t>銀行存款1002</t>
        </is>
      </c>
      <c r="D37" s="10" t="inlineStr">
        <is>
          <t>工作坊运营成本5101</t>
        </is>
      </c>
      <c r="E37" s="8" t="inlineStr">
        <is>
          <t>支出SC运营</t>
        </is>
      </c>
      <c r="F37" s="5" t="inlineStr">
        <is>
          <t>银行存款</t>
        </is>
      </c>
      <c r="G37" s="8" t="inlineStr">
        <is>
          <t>支出SC运营</t>
        </is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5" t="n">
        <v>2020</v>
      </c>
      <c r="B38" s="3" t="inlineStr">
        <is>
          <t>缴税</t>
        </is>
      </c>
      <c r="C38" s="3" t="inlineStr">
        <is>
          <t>银行存款1002</t>
        </is>
      </c>
      <c r="D38" s="3" t="inlineStr">
        <is>
          <t>所得税费用5402</t>
        </is>
      </c>
      <c r="E38" s="8" t="inlineStr">
        <is>
          <t>所得税税款</t>
        </is>
      </c>
      <c r="F38" s="5" t="inlineStr">
        <is>
          <t>银行存款</t>
        </is>
      </c>
      <c r="G38" s="8" t="inlineStr">
        <is>
          <t>所得税税款</t>
        </is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5" t="n">
        <v>2020</v>
      </c>
      <c r="B39" s="3" t="inlineStr">
        <is>
          <t>OL-A</t>
        </is>
      </c>
      <c r="C39" s="3" t="inlineStr">
        <is>
          <t>银行存款1002</t>
        </is>
      </c>
      <c r="D39" s="3" t="inlineStr">
        <is>
          <t>提供服务收入4301</t>
        </is>
      </c>
      <c r="E39" s="3" t="inlineStr">
        <is>
          <t>T-收入OL</t>
        </is>
      </c>
      <c r="F39" s="5" t="inlineStr">
        <is>
          <t>银行存款</t>
        </is>
      </c>
      <c r="G39" s="5" t="inlineStr">
        <is>
          <t>收入OL</t>
        </is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5" t="n">
        <v>2024</v>
      </c>
      <c r="B40" s="10" t="inlineStr">
        <is>
          <t>播客</t>
        </is>
      </c>
      <c r="C40" s="10" t="inlineStr">
        <is>
          <t>銀行存款1002</t>
        </is>
      </c>
      <c r="D40" s="10" t="inlineStr">
        <is>
          <t>播客/研讨屋5501</t>
        </is>
      </c>
      <c r="E40" s="3" t="inlineStr">
        <is>
          <t>支出内容运营</t>
        </is>
      </c>
      <c r="F40" s="5" t="inlineStr">
        <is>
          <t>银行存款</t>
        </is>
      </c>
      <c r="G40" s="3" t="inlineStr">
        <is>
          <t>支出内容运营</t>
        </is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5" t="n">
        <v>2024</v>
      </c>
      <c r="B41" s="10" t="inlineStr">
        <is>
          <t>研讨屋</t>
        </is>
      </c>
      <c r="C41" s="10" t="inlineStr">
        <is>
          <t>銀行存款1002</t>
        </is>
      </c>
      <c r="D41" s="10" t="inlineStr">
        <is>
          <t>播客/研讨屋5501</t>
        </is>
      </c>
      <c r="E41" s="3" t="inlineStr">
        <is>
          <t>支出内容运营</t>
        </is>
      </c>
      <c r="F41" s="5" t="inlineStr">
        <is>
          <t>银行存款</t>
        </is>
      </c>
      <c r="G41" s="3" t="inlineStr">
        <is>
          <t>支出内容运营</t>
        </is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5" t="n">
        <v>2023</v>
      </c>
      <c r="B42" s="10" t="inlineStr">
        <is>
          <t>企业网银服务费</t>
        </is>
      </c>
      <c r="C42" s="10" t="inlineStr">
        <is>
          <t>銀行存款1002</t>
        </is>
      </c>
      <c r="D42" s="10" t="inlineStr">
        <is>
          <t>管理費用5201</t>
        </is>
      </c>
      <c r="E42" s="8" t="inlineStr">
        <is>
          <t>管理费用</t>
        </is>
      </c>
      <c r="F42" s="5" t="inlineStr">
        <is>
          <t>银行存款</t>
        </is>
      </c>
      <c r="G42" s="8" t="inlineStr">
        <is>
          <t>管理费用</t>
        </is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5" t="n">
        <v>2022</v>
      </c>
      <c r="B43" s="10" t="inlineStr">
        <is>
          <t>手续费</t>
        </is>
      </c>
      <c r="C43" s="10" t="inlineStr">
        <is>
          <t>銀行存款1002</t>
        </is>
      </c>
      <c r="D43" s="10" t="inlineStr">
        <is>
          <t>管理費用5201</t>
        </is>
      </c>
      <c r="E43" s="8" t="inlineStr">
        <is>
          <t>管理费用</t>
        </is>
      </c>
      <c r="F43" s="5" t="inlineStr">
        <is>
          <t>银行存款</t>
        </is>
      </c>
      <c r="G43" s="8" t="inlineStr">
        <is>
          <t>管理费用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5" t="n">
        <v>2022</v>
      </c>
      <c r="B44" s="10" t="inlineStr">
        <is>
          <t>报销</t>
        </is>
      </c>
      <c r="C44" s="10" t="inlineStr">
        <is>
          <t>銀行存款1002</t>
        </is>
      </c>
      <c r="D44" s="10" t="inlineStr">
        <is>
          <t>管理費用5201</t>
        </is>
      </c>
      <c r="E44" s="8" t="inlineStr">
        <is>
          <t>管理费用</t>
        </is>
      </c>
      <c r="F44" s="5" t="inlineStr">
        <is>
          <t>银行存款</t>
        </is>
      </c>
      <c r="G44" s="8" t="inlineStr">
        <is>
          <t>管理费用</t>
        </is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5" t="n">
        <v>2022</v>
      </c>
      <c r="B45" s="10" t="inlineStr">
        <is>
          <t>支付宝服务费</t>
        </is>
      </c>
      <c r="C45" s="10" t="inlineStr">
        <is>
          <t>銀行存款1002</t>
        </is>
      </c>
      <c r="D45" s="10" t="inlineStr">
        <is>
          <t>管理費用5201</t>
        </is>
      </c>
      <c r="E45" s="8" t="inlineStr">
        <is>
          <t>管理费用</t>
        </is>
      </c>
      <c r="F45" s="5" t="inlineStr">
        <is>
          <t>银行存款</t>
        </is>
      </c>
      <c r="G45" s="8" t="inlineStr">
        <is>
          <t>管理费用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5" t="n">
        <v>2023</v>
      </c>
      <c r="B46" s="10" t="inlineStr">
        <is>
          <t>收费</t>
        </is>
      </c>
      <c r="C46" s="10" t="inlineStr">
        <is>
          <t>銀行存款1002</t>
        </is>
      </c>
      <c r="D46" s="10" t="inlineStr">
        <is>
          <t>管理費用5201</t>
        </is>
      </c>
      <c r="E46" s="8" t="inlineStr">
        <is>
          <t>管理费用</t>
        </is>
      </c>
      <c r="F46" s="5" t="inlineStr">
        <is>
          <t>银行存款</t>
        </is>
      </c>
      <c r="G46" s="8" t="inlineStr">
        <is>
          <t>管理费用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5" t="n">
        <v>2023</v>
      </c>
      <c r="B47" s="10" t="inlineStr">
        <is>
          <t>管理</t>
        </is>
      </c>
      <c r="C47" s="10" t="inlineStr">
        <is>
          <t>銀行存款1002</t>
        </is>
      </c>
      <c r="D47" s="10" t="inlineStr">
        <is>
          <t>管理費用5201</t>
        </is>
      </c>
      <c r="E47" s="8" t="inlineStr">
        <is>
          <t>管理费用</t>
        </is>
      </c>
      <c r="F47" s="5" t="inlineStr">
        <is>
          <t>银行存款</t>
        </is>
      </c>
      <c r="G47" s="8" t="inlineStr">
        <is>
          <t>管理费用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5" t="n">
        <v>2022</v>
      </c>
      <c r="B48" s="10" t="inlineStr">
        <is>
          <t>运营</t>
        </is>
      </c>
      <c r="C48" s="10" t="inlineStr">
        <is>
          <t>銀行存款1002</t>
        </is>
      </c>
      <c r="D48" s="10" t="inlineStr">
        <is>
          <t>管理費用5201</t>
        </is>
      </c>
      <c r="E48" s="8" t="inlineStr">
        <is>
          <t>管理费用</t>
        </is>
      </c>
      <c r="F48" s="5" t="inlineStr">
        <is>
          <t>银行存款</t>
        </is>
      </c>
      <c r="G48" s="8" t="inlineStr">
        <is>
          <t>管理费用</t>
        </is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5" t="n">
        <v>2023</v>
      </c>
      <c r="B49" s="10" t="inlineStr">
        <is>
          <t>运营</t>
        </is>
      </c>
      <c r="C49" s="10" t="inlineStr">
        <is>
          <t>銀行存款1002</t>
        </is>
      </c>
      <c r="D49" s="10" t="inlineStr">
        <is>
          <t>管理費用5201</t>
        </is>
      </c>
      <c r="E49" s="8" t="inlineStr">
        <is>
          <t>管理费用</t>
        </is>
      </c>
      <c r="F49" s="5" t="inlineStr">
        <is>
          <t>银行存款</t>
        </is>
      </c>
      <c r="G49" s="8" t="inlineStr">
        <is>
          <t>管理费用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5" t="n">
        <v>2024</v>
      </c>
      <c r="B50" s="10" t="inlineStr">
        <is>
          <t>运营</t>
        </is>
      </c>
      <c r="C50" s="10" t="inlineStr">
        <is>
          <t>銀行存款1002</t>
        </is>
      </c>
      <c r="D50" s="10" t="inlineStr">
        <is>
          <t>管理費用5201</t>
        </is>
      </c>
      <c r="E50" s="8" t="inlineStr">
        <is>
          <t>管理费用</t>
        </is>
      </c>
      <c r="F50" s="5" t="inlineStr">
        <is>
          <t>银行存款</t>
        </is>
      </c>
      <c r="G50" s="8" t="inlineStr">
        <is>
          <t>管理费用</t>
        </is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5" t="n">
        <v>2020</v>
      </c>
      <c r="B51" s="3" t="inlineStr">
        <is>
          <t>Promo</t>
        </is>
      </c>
      <c r="C51" s="3" t="inlineStr">
        <is>
          <t>银行存款1002</t>
        </is>
      </c>
      <c r="D51" s="3" t="inlineStr">
        <is>
          <t>管理费用5201</t>
        </is>
      </c>
      <c r="E51" s="5" t="inlineStr">
        <is>
          <t>宣传推广</t>
        </is>
      </c>
      <c r="F51" s="5" t="inlineStr">
        <is>
          <t>银行存款</t>
        </is>
      </c>
      <c r="G51" s="5" t="inlineStr">
        <is>
          <t>宣传推广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5" t="n">
        <v>2020</v>
      </c>
      <c r="B52" s="3" t="inlineStr">
        <is>
          <t>企业网银服务费</t>
        </is>
      </c>
      <c r="C52" s="3" t="inlineStr">
        <is>
          <t>银行存款1002</t>
        </is>
      </c>
      <c r="D52" s="3" t="inlineStr">
        <is>
          <t>管理费用5201</t>
        </is>
      </c>
      <c r="E52" s="8" t="inlineStr">
        <is>
          <t>管理费用</t>
        </is>
      </c>
      <c r="F52" s="5" t="inlineStr">
        <is>
          <t>银行存款</t>
        </is>
      </c>
      <c r="G52" s="8" t="inlineStr">
        <is>
          <t>管理费用</t>
        </is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5" t="n">
        <v>2021</v>
      </c>
      <c r="B53" s="3" t="inlineStr">
        <is>
          <t>公众号迁移</t>
        </is>
      </c>
      <c r="C53" s="3" t="inlineStr">
        <is>
          <t>银行存款1002</t>
        </is>
      </c>
      <c r="D53" s="3" t="inlineStr">
        <is>
          <t>管理费用5201</t>
        </is>
      </c>
      <c r="E53" s="8" t="inlineStr">
        <is>
          <t>管理费用</t>
        </is>
      </c>
      <c r="F53" s="5" t="inlineStr">
        <is>
          <t>银行存款</t>
        </is>
      </c>
      <c r="G53" s="8" t="inlineStr">
        <is>
          <t>管理费用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5" t="n">
        <v>2020</v>
      </c>
      <c r="B54" s="3" t="inlineStr">
        <is>
          <t>公司宝地址续约</t>
        </is>
      </c>
      <c r="C54" s="3" t="inlineStr">
        <is>
          <t>银行存款1002</t>
        </is>
      </c>
      <c r="D54" s="3" t="inlineStr">
        <is>
          <t>管理费用5201</t>
        </is>
      </c>
      <c r="E54" s="8" t="inlineStr">
        <is>
          <t>管理费用</t>
        </is>
      </c>
      <c r="F54" s="5" t="inlineStr">
        <is>
          <t>银行存款</t>
        </is>
      </c>
      <c r="G54" s="8" t="inlineStr">
        <is>
          <t>管理费用</t>
        </is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5" t="n">
        <v>2020</v>
      </c>
      <c r="B55" s="3" t="inlineStr">
        <is>
          <t>服务费</t>
        </is>
      </c>
      <c r="C55" s="3" t="inlineStr">
        <is>
          <t>银行存款1002</t>
        </is>
      </c>
      <c r="D55" s="3" t="inlineStr">
        <is>
          <t>管理费用5201</t>
        </is>
      </c>
      <c r="E55" s="8" t="inlineStr">
        <is>
          <t>管理费用</t>
        </is>
      </c>
      <c r="F55" s="5" t="inlineStr">
        <is>
          <t>银行存款</t>
        </is>
      </c>
      <c r="G55" s="8" t="inlineStr">
        <is>
          <t>管理费用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5" t="n">
        <v>2020</v>
      </c>
      <c r="B56" s="3" t="inlineStr">
        <is>
          <t>欠费补收（银行卡年费？）</t>
        </is>
      </c>
      <c r="C56" s="3" t="inlineStr">
        <is>
          <t>银行存款1002</t>
        </is>
      </c>
      <c r="D56" s="3" t="inlineStr">
        <is>
          <t>管理费用5201</t>
        </is>
      </c>
      <c r="E56" s="8" t="inlineStr">
        <is>
          <t>管理费用</t>
        </is>
      </c>
      <c r="F56" s="5" t="inlineStr">
        <is>
          <t>银行存款</t>
        </is>
      </c>
      <c r="G56" s="8" t="inlineStr">
        <is>
          <t>管理费用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5" t="n">
        <v>2020</v>
      </c>
      <c r="B57" s="3" t="inlineStr">
        <is>
          <t>网站</t>
        </is>
      </c>
      <c r="C57" s="3" t="inlineStr">
        <is>
          <t>银行存款1002</t>
        </is>
      </c>
      <c r="D57" s="3" t="inlineStr">
        <is>
          <t>管理费用5201</t>
        </is>
      </c>
      <c r="E57" s="8" t="inlineStr">
        <is>
          <t>管理费用</t>
        </is>
      </c>
      <c r="F57" s="5" t="inlineStr">
        <is>
          <t>银行存款</t>
        </is>
      </c>
      <c r="G57" s="8" t="inlineStr">
        <is>
          <t>管理费用</t>
        </is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5" t="n">
        <v>2021</v>
      </c>
      <c r="B58" s="3" t="inlineStr">
        <is>
          <t>网站费用</t>
        </is>
      </c>
      <c r="C58" s="3" t="inlineStr">
        <is>
          <t>银行存款1002</t>
        </is>
      </c>
      <c r="D58" s="3" t="inlineStr">
        <is>
          <t>管理费用5201</t>
        </is>
      </c>
      <c r="E58" s="8" t="inlineStr">
        <is>
          <t>管理费用</t>
        </is>
      </c>
      <c r="F58" s="5" t="inlineStr">
        <is>
          <t>银行存款</t>
        </is>
      </c>
      <c r="G58" s="8" t="inlineStr">
        <is>
          <t>管理费用</t>
        </is>
      </c>
      <c r="H58" s="3" t="n"/>
      <c r="I58" s="3" t="n"/>
      <c r="J58" s="8" t="n"/>
      <c r="K58" s="5" t="n"/>
      <c r="L58" s="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5" t="n">
        <v>2021</v>
      </c>
      <c r="B59" s="3" t="inlineStr">
        <is>
          <t>运营</t>
        </is>
      </c>
      <c r="C59" s="3" t="inlineStr">
        <is>
          <t>银行存款1002</t>
        </is>
      </c>
      <c r="D59" s="3" t="inlineStr">
        <is>
          <t>管理费用5201</t>
        </is>
      </c>
      <c r="E59" s="8" t="inlineStr">
        <is>
          <t>管理费用</t>
        </is>
      </c>
      <c r="F59" s="5" t="inlineStr">
        <is>
          <t>银行存款</t>
        </is>
      </c>
      <c r="G59" s="8" t="inlineStr">
        <is>
          <t>管理费用</t>
        </is>
      </c>
      <c r="H59" s="3" t="n"/>
      <c r="I59" s="3" t="n"/>
      <c r="J59" s="5" t="n"/>
      <c r="K59" s="5" t="n"/>
      <c r="L59" s="5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5" t="n">
        <v>2022</v>
      </c>
      <c r="B60" s="10" t="inlineStr">
        <is>
          <t>工资</t>
        </is>
      </c>
      <c r="C60" s="10" t="inlineStr">
        <is>
          <t>銀行存款1002</t>
        </is>
      </c>
      <c r="D60" s="10" t="inlineStr">
        <is>
          <t>组委工资5601</t>
        </is>
      </c>
      <c r="E60" s="3" t="inlineStr">
        <is>
          <t>组委工资</t>
        </is>
      </c>
      <c r="F60" s="8" t="inlineStr">
        <is>
          <t>银行存款</t>
        </is>
      </c>
      <c r="G60" s="3" t="inlineStr">
        <is>
          <t>组委工资</t>
        </is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5" t="n">
        <v>2023</v>
      </c>
      <c r="B61" s="10" t="inlineStr">
        <is>
          <t>工资</t>
        </is>
      </c>
      <c r="C61" s="10" t="inlineStr">
        <is>
          <t>銀行存款1002</t>
        </is>
      </c>
      <c r="D61" s="10" t="inlineStr">
        <is>
          <t>组委工资5601</t>
        </is>
      </c>
      <c r="E61" s="3" t="inlineStr">
        <is>
          <t>组委工资</t>
        </is>
      </c>
      <c r="F61" s="8" t="inlineStr">
        <is>
          <t>银行存款</t>
        </is>
      </c>
      <c r="G61" s="3" t="inlineStr">
        <is>
          <t>组委工资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5" t="n">
        <v>2024</v>
      </c>
      <c r="B62" s="10" t="inlineStr">
        <is>
          <t>工资</t>
        </is>
      </c>
      <c r="C62" s="10" t="inlineStr">
        <is>
          <t>銀行存款1002</t>
        </is>
      </c>
      <c r="D62" s="10" t="inlineStr">
        <is>
          <t>组委工资5601</t>
        </is>
      </c>
      <c r="E62" s="3" t="inlineStr">
        <is>
          <t>组委工资</t>
        </is>
      </c>
      <c r="F62" s="8" t="inlineStr">
        <is>
          <t>银行存款</t>
        </is>
      </c>
      <c r="G62" s="3" t="inlineStr">
        <is>
          <t>组委工资</t>
        </is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5" t="n">
        <v>2021</v>
      </c>
      <c r="B63" s="3" t="inlineStr">
        <is>
          <t>工资</t>
        </is>
      </c>
      <c r="C63" s="3" t="inlineStr">
        <is>
          <t>银行存款1002</t>
        </is>
      </c>
      <c r="D63" s="3" t="inlineStr">
        <is>
          <t>组委工资5601</t>
        </is>
      </c>
      <c r="E63" s="5" t="inlineStr">
        <is>
          <t>组委工资</t>
        </is>
      </c>
      <c r="F63" s="5" t="inlineStr">
        <is>
          <t>银行存款</t>
        </is>
      </c>
      <c r="G63" s="5" t="inlineStr">
        <is>
          <t>组委工资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5" t="n">
        <v>2023</v>
      </c>
      <c r="B64" s="10" t="inlineStr">
        <is>
          <t>组委工资</t>
        </is>
      </c>
      <c r="C64" s="10" t="inlineStr">
        <is>
          <t>銀行存款1002</t>
        </is>
      </c>
      <c r="D64" s="10" t="inlineStr">
        <is>
          <t>组委工资5601</t>
        </is>
      </c>
      <c r="E64" s="5" t="inlineStr">
        <is>
          <t>组委工资</t>
        </is>
      </c>
      <c r="F64" s="5" t="inlineStr">
        <is>
          <t>银行存款</t>
        </is>
      </c>
      <c r="G64" s="5" t="inlineStr">
        <is>
          <t>组委工资</t>
        </is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5" t="n">
        <v>2024</v>
      </c>
      <c r="B65" s="10" t="inlineStr">
        <is>
          <t>组委工资</t>
        </is>
      </c>
      <c r="C65" s="10" t="inlineStr">
        <is>
          <t>銀行存款1002</t>
        </is>
      </c>
      <c r="D65" s="10" t="inlineStr">
        <is>
          <t>组委工资5601</t>
        </is>
      </c>
      <c r="E65" s="5" t="inlineStr">
        <is>
          <t>组委工资</t>
        </is>
      </c>
      <c r="F65" s="5" t="inlineStr">
        <is>
          <t>银行存款</t>
        </is>
      </c>
      <c r="G65" s="5" t="inlineStr">
        <is>
          <t>组委工资</t>
        </is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5" t="n">
        <v>2024</v>
      </c>
      <c r="B66" s="10" t="inlineStr">
        <is>
          <t>？</t>
        </is>
      </c>
      <c r="C66" s="10" t="inlineStr">
        <is>
          <t>管理費用5201</t>
        </is>
      </c>
      <c r="D66" s="10" t="inlineStr">
        <is>
          <t>銀行存款1002</t>
        </is>
      </c>
      <c r="E66" s="8" t="inlineStr">
        <is>
          <t>管理费用</t>
        </is>
      </c>
      <c r="F66" s="5" t="inlineStr">
        <is>
          <t>银行存款</t>
        </is>
      </c>
      <c r="G66" s="8" t="inlineStr">
        <is>
          <t>管理费用</t>
        </is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5" t="n">
        <v>2023</v>
      </c>
      <c r="B67" s="10" t="inlineStr">
        <is>
          <t>/</t>
        </is>
      </c>
      <c r="C67" s="10" t="n"/>
      <c r="D67" s="10" t="inlineStr">
        <is>
          <t>銀行存款1002</t>
        </is>
      </c>
      <c r="E67" s="3" t="inlineStr">
        <is>
          <t>/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5" t="n">
        <v>2022</v>
      </c>
      <c r="B68" s="10" t="inlineStr">
        <is>
          <t>OL</t>
        </is>
      </c>
      <c r="C68" s="10" t="inlineStr">
        <is>
          <t>OL收入4301</t>
        </is>
      </c>
      <c r="D68" s="10" t="inlineStr">
        <is>
          <t>銀行存款1002</t>
        </is>
      </c>
      <c r="E68" s="5" t="inlineStr">
        <is>
          <t>收入OL</t>
        </is>
      </c>
      <c r="F68" s="5" t="inlineStr">
        <is>
          <t>收入OL</t>
        </is>
      </c>
      <c r="G68" s="5" t="inlineStr">
        <is>
          <t>银行存款</t>
        </is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5" t="n">
        <v>2023</v>
      </c>
      <c r="B69" s="10" t="inlineStr">
        <is>
          <t>OL</t>
        </is>
      </c>
      <c r="C69" s="7" t="inlineStr">
        <is>
          <t>OL收入4301</t>
        </is>
      </c>
      <c r="D69" s="10" t="inlineStr">
        <is>
          <t>銀行存款1002</t>
        </is>
      </c>
      <c r="E69" s="5" t="inlineStr">
        <is>
          <t>收入OL</t>
        </is>
      </c>
      <c r="F69" s="5" t="inlineStr">
        <is>
          <t>收入OL</t>
        </is>
      </c>
      <c r="G69" s="5" t="inlineStr">
        <is>
          <t>银行存款</t>
        </is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5" t="n">
        <v>2024</v>
      </c>
      <c r="B70" s="10" t="inlineStr">
        <is>
          <t>OL</t>
        </is>
      </c>
      <c r="C70" s="10" t="inlineStr">
        <is>
          <t>OL收入4301</t>
        </is>
      </c>
      <c r="D70" s="10" t="inlineStr">
        <is>
          <t>銀行存款1002</t>
        </is>
      </c>
      <c r="E70" s="5" t="inlineStr">
        <is>
          <t>收入OL</t>
        </is>
      </c>
      <c r="F70" s="5" t="inlineStr">
        <is>
          <t>收入OL</t>
        </is>
      </c>
      <c r="G70" s="5" t="inlineStr">
        <is>
          <t>银行存款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5" t="n">
        <v>2022</v>
      </c>
      <c r="B71" s="10" t="inlineStr">
        <is>
          <t>OL-N</t>
        </is>
      </c>
      <c r="C71" s="10" t="inlineStr">
        <is>
          <t>OL收入4301</t>
        </is>
      </c>
      <c r="D71" s="10" t="inlineStr">
        <is>
          <t>銀行存款1002</t>
        </is>
      </c>
      <c r="E71" s="5" t="inlineStr">
        <is>
          <t>收入OL</t>
        </is>
      </c>
      <c r="F71" s="5" t="inlineStr">
        <is>
          <t>收入OL</t>
        </is>
      </c>
      <c r="G71" s="5" t="inlineStr">
        <is>
          <t>银行存款</t>
        </is>
      </c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5" t="n">
        <v>2023</v>
      </c>
      <c r="B72" s="10" t="inlineStr">
        <is>
          <t>OL-N</t>
        </is>
      </c>
      <c r="C72" s="10" t="inlineStr">
        <is>
          <t>OL收入4301</t>
        </is>
      </c>
      <c r="D72" s="10" t="inlineStr">
        <is>
          <t>銀行存款1002</t>
        </is>
      </c>
      <c r="E72" s="5" t="inlineStr">
        <is>
          <t>收入OL</t>
        </is>
      </c>
      <c r="F72" s="5" t="inlineStr">
        <is>
          <t>收入OL</t>
        </is>
      </c>
      <c r="G72" s="5" t="inlineStr">
        <is>
          <t>银行存款</t>
        </is>
      </c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5" t="n">
        <v>2024</v>
      </c>
      <c r="B73" s="10" t="inlineStr">
        <is>
          <t>OL押金</t>
        </is>
      </c>
      <c r="C73" s="10" t="inlineStr">
        <is>
          <t>其他應付款(押金)2209</t>
        </is>
      </c>
      <c r="D73" s="10" t="inlineStr">
        <is>
          <t>銀行存款1002</t>
        </is>
      </c>
      <c r="E73" s="8" t="inlineStr">
        <is>
          <t>应付OL押金</t>
        </is>
      </c>
      <c r="F73" s="5" t="inlineStr">
        <is>
          <t>银行存款</t>
        </is>
      </c>
      <c r="G73" s="8" t="inlineStr">
        <is>
          <t>应付OL押金</t>
        </is>
      </c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5" t="n">
        <v>2022</v>
      </c>
      <c r="B74" s="10" t="inlineStr">
        <is>
          <t>书院</t>
        </is>
      </c>
      <c r="C74" s="10" t="inlineStr">
        <is>
          <t>工作坊/书院收入4201</t>
        </is>
      </c>
      <c r="D74" s="10" t="inlineStr">
        <is>
          <t>銀行存款1002</t>
        </is>
      </c>
      <c r="E74" s="3" t="inlineStr">
        <is>
          <t>收入SC</t>
        </is>
      </c>
      <c r="F74" s="3" t="inlineStr">
        <is>
          <t>收入SC</t>
        </is>
      </c>
      <c r="G74" s="5" t="inlineStr">
        <is>
          <t>银行存款</t>
        </is>
      </c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5" t="n">
        <v>2023</v>
      </c>
      <c r="B75" s="10" t="inlineStr">
        <is>
          <t>书院</t>
        </is>
      </c>
      <c r="C75" s="10" t="inlineStr">
        <is>
          <t>工作坊/书院收入4201</t>
        </is>
      </c>
      <c r="D75" s="10" t="inlineStr">
        <is>
          <t>銀行存款1002</t>
        </is>
      </c>
      <c r="E75" s="3" t="inlineStr">
        <is>
          <t>收入SC</t>
        </is>
      </c>
      <c r="F75" s="3" t="inlineStr">
        <is>
          <t>收入SC</t>
        </is>
      </c>
      <c r="G75" s="5" t="inlineStr">
        <is>
          <t>银行存款</t>
        </is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5" t="n">
        <v>2024</v>
      </c>
      <c r="B76" s="10" t="inlineStr">
        <is>
          <t>书院</t>
        </is>
      </c>
      <c r="C76" s="10" t="inlineStr">
        <is>
          <t>工作坊/书院收入4201</t>
        </is>
      </c>
      <c r="D76" s="10" t="inlineStr">
        <is>
          <t>銀行存款1002</t>
        </is>
      </c>
      <c r="E76" s="3" t="inlineStr">
        <is>
          <t>收入SC</t>
        </is>
      </c>
      <c r="F76" s="3" t="inlineStr">
        <is>
          <t>收入SC</t>
        </is>
      </c>
      <c r="G76" s="5" t="inlineStr">
        <is>
          <t>银行存款</t>
        </is>
      </c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5" t="n">
        <v>2024</v>
      </c>
      <c r="B77" s="10" t="inlineStr">
        <is>
          <t>书院学费</t>
        </is>
      </c>
      <c r="C77" s="10" t="inlineStr">
        <is>
          <t>工作坊/书院收入4201</t>
        </is>
      </c>
      <c r="D77" s="10" t="inlineStr">
        <is>
          <t>銀行存款1002</t>
        </is>
      </c>
      <c r="E77" s="3" t="inlineStr">
        <is>
          <t>收入SC</t>
        </is>
      </c>
      <c r="F77" s="3" t="inlineStr">
        <is>
          <t>收入SC</t>
        </is>
      </c>
      <c r="G77" s="5" t="inlineStr">
        <is>
          <t>银行存款</t>
        </is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5" t="n">
        <v>2022</v>
      </c>
      <c r="B78" s="10" t="inlineStr">
        <is>
          <t>余利宝收益发放</t>
        </is>
      </c>
      <c r="C78" s="10" t="inlineStr">
        <is>
          <t>投資收益4601</t>
        </is>
      </c>
      <c r="D78" s="10" t="inlineStr">
        <is>
          <t>銀行存款1002</t>
        </is>
      </c>
      <c r="E78" s="8" t="inlineStr">
        <is>
          <t>投资收益</t>
        </is>
      </c>
      <c r="F78" s="8" t="inlineStr">
        <is>
          <t>投资收益</t>
        </is>
      </c>
      <c r="G78" s="5" t="inlineStr">
        <is>
          <t>银行存款</t>
        </is>
      </c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5" t="n">
        <v>2023</v>
      </c>
      <c r="B79" s="10" t="inlineStr">
        <is>
          <t>余利宝收益发放</t>
        </is>
      </c>
      <c r="C79" s="10" t="inlineStr">
        <is>
          <t>投資收益4601</t>
        </is>
      </c>
      <c r="D79" s="10" t="inlineStr">
        <is>
          <t>銀行存款1002</t>
        </is>
      </c>
      <c r="E79" s="8" t="inlineStr">
        <is>
          <t>投资收益</t>
        </is>
      </c>
      <c r="F79" s="8" t="inlineStr">
        <is>
          <t>投资收益</t>
        </is>
      </c>
      <c r="G79" s="5" t="inlineStr">
        <is>
          <t>银行存款</t>
        </is>
      </c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5" t="n">
        <v>2024</v>
      </c>
      <c r="B80" s="10" t="inlineStr">
        <is>
          <t>余利宝收益发放</t>
        </is>
      </c>
      <c r="C80" s="10" t="inlineStr">
        <is>
          <t>投資收益4601</t>
        </is>
      </c>
      <c r="D80" s="10" t="inlineStr">
        <is>
          <t>銀行存款1002</t>
        </is>
      </c>
      <c r="E80" s="10" t="inlineStr">
        <is>
          <t>余利宝收益发放</t>
        </is>
      </c>
      <c r="F80" s="3" t="inlineStr">
        <is>
          <t>投资收益</t>
        </is>
      </c>
      <c r="G80" s="8" t="inlineStr">
        <is>
          <t>银行存款</t>
        </is>
      </c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5" t="n">
        <v>2021</v>
      </c>
      <c r="B81" s="3" t="inlineStr">
        <is>
          <t>基金收益</t>
        </is>
      </c>
      <c r="C81" s="10" t="inlineStr">
        <is>
          <t>投資收益4601</t>
        </is>
      </c>
      <c r="D81" s="10" t="inlineStr">
        <is>
          <t>銀行存款1002</t>
        </is>
      </c>
      <c r="E81" s="8" t="inlineStr">
        <is>
          <t>投资收益</t>
        </is>
      </c>
      <c r="F81" s="8" t="inlineStr">
        <is>
          <t>投资收益</t>
        </is>
      </c>
      <c r="G81" s="5" t="inlineStr">
        <is>
          <t>银行存款</t>
        </is>
      </c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5" t="n">
        <v>2022</v>
      </c>
      <c r="B82" s="10" t="inlineStr">
        <is>
          <t>基金收益</t>
        </is>
      </c>
      <c r="C82" s="10" t="inlineStr">
        <is>
          <t>投資收益4601</t>
        </is>
      </c>
      <c r="D82" s="10" t="inlineStr">
        <is>
          <t>銀行存款1002</t>
        </is>
      </c>
      <c r="E82" s="8" t="inlineStr">
        <is>
          <t>投资收益</t>
        </is>
      </c>
      <c r="F82" s="8" t="inlineStr">
        <is>
          <t>投资收益</t>
        </is>
      </c>
      <c r="G82" s="5" t="inlineStr">
        <is>
          <t>银行存款</t>
        </is>
      </c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5" t="n">
        <v>2022</v>
      </c>
      <c r="B83" s="10" t="inlineStr">
        <is>
          <t>捐赠？</t>
        </is>
      </c>
      <c r="C83" s="10" t="inlineStr">
        <is>
          <t>捐贈收入4101</t>
        </is>
      </c>
      <c r="D83" s="10" t="inlineStr">
        <is>
          <t>銀行存款1002</t>
        </is>
      </c>
      <c r="E83" s="8" t="inlineStr">
        <is>
          <t>捐赠收入</t>
        </is>
      </c>
      <c r="F83" s="8" t="inlineStr">
        <is>
          <t>捐赠收入</t>
        </is>
      </c>
      <c r="G83" s="5" t="inlineStr">
        <is>
          <t>银行存款</t>
        </is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5" t="n">
        <v>2022</v>
      </c>
      <c r="B84" s="10" t="inlineStr">
        <is>
          <t>结息</t>
        </is>
      </c>
      <c r="C84" s="10" t="inlineStr">
        <is>
          <t>投資收益4601</t>
        </is>
      </c>
      <c r="D84" s="10" t="inlineStr">
        <is>
          <t>銀行存款1002</t>
        </is>
      </c>
      <c r="E84" s="8" t="inlineStr">
        <is>
          <t>投资收益</t>
        </is>
      </c>
      <c r="F84" s="8" t="inlineStr">
        <is>
          <t>投资收益</t>
        </is>
      </c>
      <c r="G84" s="5" t="inlineStr">
        <is>
          <t>银行存款</t>
        </is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5" t="n">
        <v>2023</v>
      </c>
      <c r="B85" s="10" t="inlineStr">
        <is>
          <t>结息</t>
        </is>
      </c>
      <c r="C85" s="10" t="inlineStr">
        <is>
          <t>投資收益4601</t>
        </is>
      </c>
      <c r="D85" s="10" t="inlineStr">
        <is>
          <t>銀行存款1002</t>
        </is>
      </c>
      <c r="E85" s="8" t="inlineStr">
        <is>
          <t>投资收益</t>
        </is>
      </c>
      <c r="F85" s="8" t="inlineStr">
        <is>
          <t>投资收益</t>
        </is>
      </c>
      <c r="G85" s="5" t="inlineStr">
        <is>
          <t>银行存款</t>
        </is>
      </c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5" t="n">
        <v>2024</v>
      </c>
      <c r="B86" s="10" t="inlineStr">
        <is>
          <t>结息</t>
        </is>
      </c>
      <c r="C86" s="10" t="inlineStr">
        <is>
          <t>投資收益4601</t>
        </is>
      </c>
      <c r="D86" s="10" t="inlineStr">
        <is>
          <t>銀行存款1002</t>
        </is>
      </c>
      <c r="E86" s="8" t="inlineStr">
        <is>
          <t>投资收益</t>
        </is>
      </c>
      <c r="F86" s="8" t="inlineStr">
        <is>
          <t>投资收益</t>
        </is>
      </c>
      <c r="G86" s="5" t="inlineStr">
        <is>
          <t>银行存款</t>
        </is>
      </c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5" t="n">
        <v>2022</v>
      </c>
      <c r="B87" s="10" t="inlineStr">
        <is>
          <t>赞赏</t>
        </is>
      </c>
      <c r="C87" s="10" t="inlineStr">
        <is>
          <t>捐贈收入4101</t>
        </is>
      </c>
      <c r="D87" s="10" t="inlineStr">
        <is>
          <t>銀行存款1002</t>
        </is>
      </c>
      <c r="E87" s="8" t="inlineStr">
        <is>
          <t>捐赠收入</t>
        </is>
      </c>
      <c r="F87" s="8" t="inlineStr">
        <is>
          <t>捐赠收入</t>
        </is>
      </c>
      <c r="G87" s="5" t="inlineStr">
        <is>
          <t>银行存款</t>
        </is>
      </c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5" t="n">
        <v>2023</v>
      </c>
      <c r="B88" s="10" t="inlineStr">
        <is>
          <t>赞赏</t>
        </is>
      </c>
      <c r="C88" s="10" t="inlineStr">
        <is>
          <t>捐贈收入4101</t>
        </is>
      </c>
      <c r="D88" s="10" t="inlineStr">
        <is>
          <t>銀行存款1002</t>
        </is>
      </c>
      <c r="E88" s="8" t="inlineStr">
        <is>
          <t>捐赠收入</t>
        </is>
      </c>
      <c r="F88" s="8" t="inlineStr">
        <is>
          <t>捐赠收入</t>
        </is>
      </c>
      <c r="G88" s="5" t="inlineStr">
        <is>
          <t>银行存款</t>
        </is>
      </c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5" t="n">
        <v>2021</v>
      </c>
      <c r="B89" s="3" t="inlineStr">
        <is>
          <t>Core</t>
        </is>
      </c>
      <c r="C89" s="3" t="inlineStr">
        <is>
          <t>OL收入4301</t>
        </is>
      </c>
      <c r="D89" s="3" t="inlineStr">
        <is>
          <t>银行存款1002</t>
        </is>
      </c>
      <c r="E89" s="5" t="inlineStr">
        <is>
          <t>收入OL</t>
        </is>
      </c>
      <c r="F89" s="5" t="inlineStr">
        <is>
          <t>收入OL</t>
        </is>
      </c>
      <c r="G89" s="5" t="inlineStr">
        <is>
          <t>银行存款</t>
        </is>
      </c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5" t="n">
        <v>2021</v>
      </c>
      <c r="B90" s="3" t="inlineStr">
        <is>
          <t>OL</t>
        </is>
      </c>
      <c r="C90" s="3" t="inlineStr">
        <is>
          <t>OL收入4301</t>
        </is>
      </c>
      <c r="D90" s="3" t="inlineStr">
        <is>
          <t>银行存款1002</t>
        </is>
      </c>
      <c r="E90" s="5" t="inlineStr">
        <is>
          <t>收入OL</t>
        </is>
      </c>
      <c r="F90" s="5" t="inlineStr">
        <is>
          <t>收入OL</t>
        </is>
      </c>
      <c r="G90" s="5" t="inlineStr">
        <is>
          <t>银行存款</t>
        </is>
      </c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5" t="n">
        <v>2020</v>
      </c>
      <c r="B91" s="3" t="inlineStr">
        <is>
          <t>OL</t>
        </is>
      </c>
      <c r="C91" s="3" t="inlineStr">
        <is>
          <t>提供服务收入4301</t>
        </is>
      </c>
      <c r="D91" s="3" t="inlineStr">
        <is>
          <t>银行存款1002</t>
        </is>
      </c>
      <c r="E91" s="5" t="inlineStr">
        <is>
          <t>收入OL</t>
        </is>
      </c>
      <c r="F91" s="5" t="inlineStr">
        <is>
          <t>收入OL</t>
        </is>
      </c>
      <c r="G91" s="5" t="inlineStr">
        <is>
          <t>银行存款</t>
        </is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5" t="n">
        <v>2021</v>
      </c>
      <c r="B92" s="3" t="inlineStr">
        <is>
          <t>OL-N</t>
        </is>
      </c>
      <c r="C92" s="3" t="inlineStr">
        <is>
          <t>OL收入4301</t>
        </is>
      </c>
      <c r="D92" s="3" t="inlineStr">
        <is>
          <t>银行存款1002</t>
        </is>
      </c>
      <c r="E92" s="5" t="inlineStr">
        <is>
          <t>收入OL</t>
        </is>
      </c>
      <c r="F92" s="5" t="inlineStr">
        <is>
          <t>收入OL</t>
        </is>
      </c>
      <c r="G92" s="5" t="inlineStr">
        <is>
          <t>银行存款</t>
        </is>
      </c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5" t="n">
        <v>2020</v>
      </c>
      <c r="B93" s="3" t="inlineStr">
        <is>
          <t>OL-N</t>
        </is>
      </c>
      <c r="C93" s="3" t="inlineStr">
        <is>
          <t>提供服务收入4301</t>
        </is>
      </c>
      <c r="D93" s="3" t="inlineStr">
        <is>
          <t>银行存款1002</t>
        </is>
      </c>
      <c r="E93" s="5" t="inlineStr">
        <is>
          <t>收入OL</t>
        </is>
      </c>
      <c r="F93" s="5" t="inlineStr">
        <is>
          <t>收入OL</t>
        </is>
      </c>
      <c r="G93" s="5" t="inlineStr">
        <is>
          <t>银行存款</t>
        </is>
      </c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5" t="n">
        <v>2021</v>
      </c>
      <c r="B94" s="3" t="inlineStr">
        <is>
          <t>Workshop</t>
        </is>
      </c>
      <c r="C94" s="3" t="inlineStr">
        <is>
          <t>工作坊收入4201</t>
        </is>
      </c>
      <c r="D94" s="3" t="inlineStr">
        <is>
          <t>银行存款1002</t>
        </is>
      </c>
      <c r="E94" s="3" t="inlineStr">
        <is>
          <t>收入SC</t>
        </is>
      </c>
      <c r="F94" s="3" t="inlineStr">
        <is>
          <t>收入SC</t>
        </is>
      </c>
      <c r="G94" s="5" t="inlineStr">
        <is>
          <t>银行存款</t>
        </is>
      </c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5" t="n">
        <v>2020</v>
      </c>
      <c r="B95" s="3" t="inlineStr">
        <is>
          <t>Workshop</t>
        </is>
      </c>
      <c r="C95" s="3" t="inlineStr">
        <is>
          <t>提供服务收入4301</t>
        </is>
      </c>
      <c r="D95" s="3" t="inlineStr">
        <is>
          <t>银行存款1002</t>
        </is>
      </c>
      <c r="E95" s="3" t="inlineStr">
        <is>
          <t>收入SC</t>
        </is>
      </c>
      <c r="F95" s="3" t="inlineStr">
        <is>
          <t>收入SC</t>
        </is>
      </c>
      <c r="G95" s="5" t="inlineStr">
        <is>
          <t>银行存款</t>
        </is>
      </c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5" t="n">
        <v>2020</v>
      </c>
      <c r="B96" s="3" t="inlineStr">
        <is>
          <t>WX-OL</t>
        </is>
      </c>
      <c r="C96" s="3" t="inlineStr">
        <is>
          <t>提供服务收入4301</t>
        </is>
      </c>
      <c r="D96" s="3" t="inlineStr">
        <is>
          <t>银行存款1002</t>
        </is>
      </c>
      <c r="E96" s="5" t="inlineStr">
        <is>
          <t>收入OL</t>
        </is>
      </c>
      <c r="F96" s="5" t="inlineStr">
        <is>
          <t>收入OL</t>
        </is>
      </c>
      <c r="G96" s="5" t="inlineStr">
        <is>
          <t>银行存款</t>
        </is>
      </c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5" t="n">
        <v>2020</v>
      </c>
      <c r="B97" s="3" t="inlineStr">
        <is>
          <t>书童（捐赠？）</t>
        </is>
      </c>
      <c r="C97" s="3" t="inlineStr">
        <is>
          <t>捐赠收入4101</t>
        </is>
      </c>
      <c r="D97" s="3" t="inlineStr">
        <is>
          <t>银行存款1002</t>
        </is>
      </c>
      <c r="E97" s="8" t="inlineStr">
        <is>
          <t>捐赠收入</t>
        </is>
      </c>
      <c r="F97" s="8" t="inlineStr">
        <is>
          <t>捐赠收入</t>
        </is>
      </c>
      <c r="G97" s="5" t="inlineStr">
        <is>
          <t>银行存款</t>
        </is>
      </c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5" t="n">
        <v>2020</v>
      </c>
      <c r="B98" s="3" t="inlineStr">
        <is>
          <t>捐赠</t>
        </is>
      </c>
      <c r="C98" s="3" t="inlineStr">
        <is>
          <t>捐赠收入4101</t>
        </is>
      </c>
      <c r="D98" s="3" t="inlineStr">
        <is>
          <t>银行存款1002</t>
        </is>
      </c>
      <c r="E98" s="8" t="inlineStr">
        <is>
          <t>捐赠收入</t>
        </is>
      </c>
      <c r="F98" s="8" t="inlineStr">
        <is>
          <t>捐赠收入</t>
        </is>
      </c>
      <c r="G98" s="5" t="inlineStr">
        <is>
          <t>银行存款</t>
        </is>
      </c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5" t="n">
        <v>2020</v>
      </c>
      <c r="B99" s="3" t="inlineStr">
        <is>
          <t>收费</t>
        </is>
      </c>
      <c r="C99" s="3" t="inlineStr">
        <is>
          <t>提供服务收入4301</t>
        </is>
      </c>
      <c r="D99" s="3" t="inlineStr">
        <is>
          <t>银行存款1002</t>
        </is>
      </c>
      <c r="E99" s="3" t="n"/>
      <c r="F99" s="3" t="n"/>
      <c r="G99" s="5" t="n"/>
      <c r="H99" s="3" t="inlineStr">
        <is>
          <t>不适用</t>
        </is>
      </c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5" t="n">
        <v>2020</v>
      </c>
      <c r="B100" s="3" t="inlineStr">
        <is>
          <t>权益变动</t>
        </is>
      </c>
      <c r="C100" s="3" t="inlineStr">
        <is>
          <t>非限定性净资产3101</t>
        </is>
      </c>
      <c r="D100" s="3" t="inlineStr">
        <is>
          <t>银行存款1002</t>
        </is>
      </c>
      <c r="E100" s="3" t="inlineStr">
        <is>
          <t>权益变动</t>
        </is>
      </c>
      <c r="F100" s="3" t="inlineStr">
        <is>
          <t>权益变动</t>
        </is>
      </c>
      <c r="G100" s="5" t="inlineStr">
        <is>
          <t>银行存款</t>
        </is>
      </c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5" t="n">
        <v>2021</v>
      </c>
      <c r="B101" s="3" t="inlineStr">
        <is>
          <t>结息</t>
        </is>
      </c>
      <c r="C101" s="3" t="inlineStr">
        <is>
          <t>投资收益4601</t>
        </is>
      </c>
      <c r="D101" s="3" t="inlineStr">
        <is>
          <t>银行存款1002</t>
        </is>
      </c>
      <c r="E101" s="8" t="inlineStr">
        <is>
          <t>投资收益</t>
        </is>
      </c>
      <c r="F101" s="8" t="inlineStr">
        <is>
          <t>投资收益</t>
        </is>
      </c>
      <c r="G101" s="5" t="inlineStr">
        <is>
          <t>银行存款</t>
        </is>
      </c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5" t="n">
        <v>2021</v>
      </c>
      <c r="B102" s="3" t="inlineStr">
        <is>
          <t>聚会</t>
        </is>
      </c>
      <c r="C102" s="3" t="inlineStr">
        <is>
          <t>其他收入4901</t>
        </is>
      </c>
      <c r="D102" s="3" t="inlineStr">
        <is>
          <t>银行存款1002</t>
        </is>
      </c>
      <c r="E102" s="8" t="inlineStr">
        <is>
          <t>捐赠收入</t>
        </is>
      </c>
      <c r="F102" s="8" t="inlineStr">
        <is>
          <t>捐赠收入</t>
        </is>
      </c>
      <c r="G102" s="5" t="inlineStr">
        <is>
          <t>银行存款</t>
        </is>
      </c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5" t="n">
        <v>2020</v>
      </c>
      <c r="B103" s="3" t="inlineStr">
        <is>
          <t>聚会（筹款？）</t>
        </is>
      </c>
      <c r="C103" s="3" t="inlineStr">
        <is>
          <t>提供服务收入4301</t>
        </is>
      </c>
      <c r="D103" s="3" t="inlineStr">
        <is>
          <t>银行存款1002</t>
        </is>
      </c>
      <c r="E103" s="8" t="inlineStr">
        <is>
          <t>捐赠收入</t>
        </is>
      </c>
      <c r="F103" s="8" t="inlineStr">
        <is>
          <t>捐赠收入</t>
        </is>
      </c>
      <c r="G103" s="5" t="inlineStr">
        <is>
          <t>银行存款</t>
        </is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5" t="n">
        <v>2021</v>
      </c>
      <c r="B104" s="3" t="inlineStr">
        <is>
          <t>赞赏</t>
        </is>
      </c>
      <c r="C104" s="3" t="inlineStr">
        <is>
          <t>捐赠收入4101</t>
        </is>
      </c>
      <c r="D104" s="3" t="inlineStr">
        <is>
          <t>银行存款1002</t>
        </is>
      </c>
      <c r="E104" s="8" t="inlineStr">
        <is>
          <t>捐赠收入</t>
        </is>
      </c>
      <c r="F104" s="8" t="inlineStr">
        <is>
          <t>捐赠收入</t>
        </is>
      </c>
      <c r="G104" s="5" t="inlineStr">
        <is>
          <t>银行存款</t>
        </is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5" t="n">
        <v>2020</v>
      </c>
      <c r="B105" s="3" t="inlineStr">
        <is>
          <t>赞赏码</t>
        </is>
      </c>
      <c r="C105" s="3" t="inlineStr">
        <is>
          <t>捐赠收入4101</t>
        </is>
      </c>
      <c r="D105" s="3" t="inlineStr">
        <is>
          <t>银行存款1002</t>
        </is>
      </c>
      <c r="E105" s="8" t="inlineStr">
        <is>
          <t>捐赠收入</t>
        </is>
      </c>
      <c r="F105" s="8" t="inlineStr">
        <is>
          <t>捐赠收入</t>
        </is>
      </c>
      <c r="G105" s="5" t="inlineStr">
        <is>
          <t>银行存款</t>
        </is>
      </c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5" t="n">
        <v>2020</v>
      </c>
      <c r="B106" s="3" t="inlineStr">
        <is>
          <t>转账</t>
        </is>
      </c>
      <c r="C106" s="3" t="inlineStr">
        <is>
          <t>银行存款1002</t>
        </is>
      </c>
      <c r="D106" s="3" t="inlineStr">
        <is>
          <t>银行存款1002</t>
        </is>
      </c>
      <c r="E106" s="3" t="inlineStr">
        <is>
          <t>/</t>
        </is>
      </c>
      <c r="F106" s="3" t="inlineStr">
        <is>
          <t>银行存款</t>
        </is>
      </c>
      <c r="G106" s="5" t="inlineStr">
        <is>
          <t>银行存款</t>
        </is>
      </c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5" t="n">
        <v>2020</v>
      </c>
      <c r="B107" s="3" t="inlineStr">
        <is>
          <t>还款</t>
        </is>
      </c>
      <c r="C107" s="3" t="inlineStr">
        <is>
          <t>短期借款2101</t>
        </is>
      </c>
      <c r="D107" s="3" t="inlineStr">
        <is>
          <t>银行存款1002</t>
        </is>
      </c>
      <c r="E107" s="3" t="inlineStr">
        <is>
          <t>短期借款</t>
        </is>
      </c>
      <c r="F107" s="5" t="inlineStr">
        <is>
          <t>银行存款</t>
        </is>
      </c>
      <c r="G107" s="3" t="inlineStr">
        <is>
          <t>短期借款</t>
        </is>
      </c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5" t="n">
        <v>2020</v>
      </c>
      <c r="B108" s="3" t="inlineStr">
        <is>
          <t>退税</t>
        </is>
      </c>
      <c r="C108" s="3" t="inlineStr">
        <is>
          <t>应交税金2206</t>
        </is>
      </c>
      <c r="D108" s="3" t="inlineStr">
        <is>
          <t>银行存款1002</t>
        </is>
      </c>
      <c r="E108" s="8" t="inlineStr">
        <is>
          <t>应付税款</t>
        </is>
      </c>
      <c r="F108" s="8" t="inlineStr">
        <is>
          <t>应付税款</t>
        </is>
      </c>
      <c r="G108" s="5" t="inlineStr">
        <is>
          <t>银行存款</t>
        </is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5" t="n">
        <v>2021</v>
      </c>
      <c r="B109" s="3" t="inlineStr">
        <is>
          <t>酒水</t>
        </is>
      </c>
      <c r="C109" s="3" t="inlineStr">
        <is>
          <t>其他收入4901</t>
        </is>
      </c>
      <c r="D109" s="3" t="inlineStr">
        <is>
          <t>银行存款1002</t>
        </is>
      </c>
      <c r="E109" s="8" t="inlineStr">
        <is>
          <t>捐赠收入</t>
        </is>
      </c>
      <c r="F109" s="8" t="inlineStr">
        <is>
          <t>捐赠收入</t>
        </is>
      </c>
      <c r="G109" s="5" t="inlineStr">
        <is>
          <t>银行存款</t>
        </is>
      </c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5" t="n">
        <v>2021</v>
      </c>
      <c r="B110" s="3" t="inlineStr">
        <is>
          <t>理事出资变动</t>
        </is>
      </c>
      <c r="C110" s="3" t="inlineStr">
        <is>
          <t>银行存款1002</t>
        </is>
      </c>
      <c r="D110" s="3" t="inlineStr">
        <is>
          <t>非限定性净资产3101</t>
        </is>
      </c>
      <c r="E110" s="3" t="inlineStr">
        <is>
          <t>T-权益变动</t>
        </is>
      </c>
      <c r="F110" s="5" t="inlineStr">
        <is>
          <t>银行存款</t>
        </is>
      </c>
      <c r="G110" s="3" t="inlineStr">
        <is>
          <t>权益变动</t>
        </is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5" t="n">
        <v>2020</v>
      </c>
      <c r="B111" s="3" t="inlineStr">
        <is>
          <t>INVEST</t>
        </is>
      </c>
      <c r="C111" s="3" t="n"/>
      <c r="D111" s="3" t="n"/>
      <c r="E111" s="3" t="inlineStr">
        <is>
          <t>/</t>
        </is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5" t="n">
        <v>2024</v>
      </c>
      <c r="B112" s="10" t="inlineStr">
        <is>
          <t>to支付宝</t>
        </is>
      </c>
      <c r="C112" s="10" t="n"/>
      <c r="D112" s="10" t="n"/>
      <c r="E112" s="3" t="inlineStr">
        <is>
          <t>/</t>
        </is>
      </c>
      <c r="F112" s="3" t="inlineStr">
        <is>
          <t>银行存款</t>
        </is>
      </c>
      <c r="G112" s="3" t="inlineStr">
        <is>
          <t>银行存款</t>
        </is>
      </c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5" t="n">
        <v>2020</v>
      </c>
      <c r="B113" s="3" t="inlineStr">
        <is>
          <t>余利宝</t>
        </is>
      </c>
      <c r="C113" s="3" t="n"/>
      <c r="D113" s="3" t="n"/>
      <c r="E113" s="3" t="inlineStr">
        <is>
          <t>/</t>
        </is>
      </c>
      <c r="F113" s="3" t="inlineStr">
        <is>
          <t>投资收益</t>
        </is>
      </c>
      <c r="G113" s="3" t="inlineStr">
        <is>
          <t>银行存款</t>
        </is>
      </c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5" t="n">
        <v>2021</v>
      </c>
      <c r="B114" s="3" t="inlineStr">
        <is>
          <t>余利宝</t>
        </is>
      </c>
      <c r="C114" s="3" t="n"/>
      <c r="D114" s="3" t="n"/>
      <c r="E114" s="3" t="inlineStr">
        <is>
          <t>/</t>
        </is>
      </c>
      <c r="F114" s="3" t="inlineStr">
        <is>
          <t>投资收益</t>
        </is>
      </c>
      <c r="G114" s="3" t="inlineStr">
        <is>
          <t>银行存款</t>
        </is>
      </c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5" t="n">
        <v>2022</v>
      </c>
      <c r="B115" s="10" t="inlineStr">
        <is>
          <t>余利宝</t>
        </is>
      </c>
      <c r="C115" s="10" t="n"/>
      <c r="D115" s="10" t="n"/>
      <c r="E115" s="3" t="inlineStr">
        <is>
          <t>/</t>
        </is>
      </c>
      <c r="F115" s="3" t="inlineStr">
        <is>
          <t>投资收益</t>
        </is>
      </c>
      <c r="G115" s="3" t="inlineStr">
        <is>
          <t>银行存款</t>
        </is>
      </c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5" t="n">
        <v>2023</v>
      </c>
      <c r="B116" s="10" t="inlineStr">
        <is>
          <t>余利宝</t>
        </is>
      </c>
      <c r="C116" s="10" t="n"/>
      <c r="D116" s="10" t="n"/>
      <c r="E116" s="3" t="inlineStr">
        <is>
          <t>/</t>
        </is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5" t="n">
        <v>2024</v>
      </c>
      <c r="B117" s="10" t="inlineStr">
        <is>
          <t>余利宝</t>
        </is>
      </c>
      <c r="C117" s="10" t="n"/>
      <c r="D117" s="10" t="n"/>
      <c r="E117" s="3" t="inlineStr">
        <is>
          <t>/</t>
        </is>
      </c>
      <c r="F117" s="3" t="inlineStr">
        <is>
          <t>投资收益</t>
        </is>
      </c>
      <c r="G117" s="3" t="inlineStr">
        <is>
          <t>银行存款</t>
        </is>
      </c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5" t="n">
        <v>2024</v>
      </c>
      <c r="B118" s="10" t="inlineStr">
        <is>
          <t>余利宝转出到支付宝</t>
        </is>
      </c>
      <c r="C118" s="10" t="n"/>
      <c r="D118" s="10" t="n"/>
      <c r="E118" s="3" t="inlineStr">
        <is>
          <t>/</t>
        </is>
      </c>
      <c r="F118" s="3" t="inlineStr">
        <is>
          <t>银行存款</t>
        </is>
      </c>
      <c r="G118" s="3" t="inlineStr">
        <is>
          <t>银行存款</t>
        </is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5" t="n">
        <v>2020</v>
      </c>
      <c r="B119" s="3" t="inlineStr">
        <is>
          <t>借款还款</t>
        </is>
      </c>
      <c r="C119" s="3" t="n"/>
      <c r="D119" s="3" t="n"/>
      <c r="E119" s="3" t="inlineStr">
        <is>
          <t>T-短期借款</t>
        </is>
      </c>
      <c r="F119" s="3" t="inlineStr">
        <is>
          <t>短期借款</t>
        </is>
      </c>
      <c r="G119" s="5" t="inlineStr">
        <is>
          <t>银行存款</t>
        </is>
      </c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5" t="n">
        <v>2020</v>
      </c>
      <c r="B120" s="3" t="inlineStr">
        <is>
          <t>基金申购，转入基金账户</t>
        </is>
      </c>
      <c r="C120" s="3" t="n"/>
      <c r="D120" s="3" t="n"/>
      <c r="E120" s="3" t="inlineStr">
        <is>
          <t>/</t>
        </is>
      </c>
      <c r="F120" s="3" t="inlineStr">
        <is>
          <t>银行存款</t>
        </is>
      </c>
      <c r="G120" s="3" t="inlineStr">
        <is>
          <t>银行存款</t>
        </is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5" t="n">
        <v>2021</v>
      </c>
      <c r="B121" s="3" t="inlineStr">
        <is>
          <t>基金申购，转入基金账户</t>
        </is>
      </c>
      <c r="C121" s="3" t="n"/>
      <c r="D121" s="3" t="n"/>
      <c r="E121" s="3" t="inlineStr">
        <is>
          <t>/</t>
        </is>
      </c>
      <c r="F121" s="3" t="inlineStr">
        <is>
          <t>银行存款</t>
        </is>
      </c>
      <c r="G121" s="3" t="inlineStr">
        <is>
          <t>银行存款</t>
        </is>
      </c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5" t="n">
        <v>2022</v>
      </c>
      <c r="B122" s="10" t="inlineStr">
        <is>
          <t>基金申购，转入基金账户</t>
        </is>
      </c>
      <c r="C122" s="10" t="n"/>
      <c r="D122" s="10" t="n"/>
      <c r="E122" s="3" t="inlineStr">
        <is>
          <t>/</t>
        </is>
      </c>
      <c r="F122" s="3" t="inlineStr">
        <is>
          <t>银行存款</t>
        </is>
      </c>
      <c r="G122" s="3" t="inlineStr">
        <is>
          <t>银行存款</t>
        </is>
      </c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5" t="n">
        <v>2020</v>
      </c>
      <c r="B123" s="3" t="inlineStr">
        <is>
          <t>基金赎回，基金账户转出</t>
        </is>
      </c>
      <c r="C123" s="3" t="n"/>
      <c r="D123" s="3" t="n"/>
      <c r="E123" s="3" t="inlineStr">
        <is>
          <t>/</t>
        </is>
      </c>
      <c r="F123" s="3" t="inlineStr">
        <is>
          <t>银行存款</t>
        </is>
      </c>
      <c r="G123" s="3" t="inlineStr">
        <is>
          <t>银行存款</t>
        </is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5" t="n">
        <v>2021</v>
      </c>
      <c r="B124" s="3" t="inlineStr">
        <is>
          <t>基金赎回，基金账户转出</t>
        </is>
      </c>
      <c r="C124" s="3" t="n"/>
      <c r="D124" s="3" t="n"/>
      <c r="E124" s="3" t="inlineStr">
        <is>
          <t>/</t>
        </is>
      </c>
      <c r="F124" s="3" t="inlineStr">
        <is>
          <t>银行存款</t>
        </is>
      </c>
      <c r="G124" s="3" t="inlineStr">
        <is>
          <t>银行存款</t>
        </is>
      </c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5" t="n">
        <v>2022</v>
      </c>
      <c r="B125" s="10" t="inlineStr">
        <is>
          <t>基金赎回，基金账户转出</t>
        </is>
      </c>
      <c r="C125" s="10" t="n"/>
      <c r="D125" s="10" t="n"/>
      <c r="E125" s="3" t="inlineStr">
        <is>
          <t>/</t>
        </is>
      </c>
      <c r="F125" s="3" t="inlineStr">
        <is>
          <t>银行存款</t>
        </is>
      </c>
      <c r="G125" s="3" t="inlineStr">
        <is>
          <t>银行存款</t>
        </is>
      </c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5" t="n">
        <v>2024</v>
      </c>
      <c r="B126" s="10" t="inlineStr">
        <is>
          <t>对公-&gt;支付宝</t>
        </is>
      </c>
      <c r="C126" s="10" t="n"/>
      <c r="D126" s="10" t="n"/>
      <c r="E126" s="3" t="inlineStr">
        <is>
          <t>/</t>
        </is>
      </c>
      <c r="F126" s="3" t="inlineStr">
        <is>
          <t>银行存款</t>
        </is>
      </c>
      <c r="G126" s="3" t="inlineStr">
        <is>
          <t>银行存款</t>
        </is>
      </c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5" t="n">
        <v>2022</v>
      </c>
      <c r="B127" s="10" t="inlineStr">
        <is>
          <t>支付宝余额自动转入</t>
        </is>
      </c>
      <c r="C127" s="10" t="n"/>
      <c r="D127" s="10" t="n"/>
      <c r="E127" s="3" t="inlineStr">
        <is>
          <t>/</t>
        </is>
      </c>
      <c r="F127" s="3" t="inlineStr">
        <is>
          <t>银行存款</t>
        </is>
      </c>
      <c r="G127" s="3" t="inlineStr">
        <is>
          <t>银行存款</t>
        </is>
      </c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5" t="n">
        <v>2023</v>
      </c>
      <c r="B128" s="10" t="inlineStr">
        <is>
          <t>支付宝余额自动转入</t>
        </is>
      </c>
      <c r="C128" s="10" t="n"/>
      <c r="D128" s="10" t="n"/>
      <c r="E128" s="3" t="inlineStr">
        <is>
          <t>/</t>
        </is>
      </c>
      <c r="F128" s="3" t="inlineStr">
        <is>
          <t>银行存款</t>
        </is>
      </c>
      <c r="G128" s="3" t="inlineStr">
        <is>
          <t>银行存款</t>
        </is>
      </c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5" t="n">
        <v>2024</v>
      </c>
      <c r="B129" s="10" t="inlineStr">
        <is>
          <t>支付宝余额自动转入</t>
        </is>
      </c>
      <c r="C129" s="10" t="n"/>
      <c r="D129" s="10" t="n"/>
      <c r="E129" s="3" t="inlineStr">
        <is>
          <t>/</t>
        </is>
      </c>
      <c r="F129" s="3" t="inlineStr">
        <is>
          <t>银行存款</t>
        </is>
      </c>
      <c r="G129" s="3" t="inlineStr">
        <is>
          <t>银行存款</t>
        </is>
      </c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5" t="n">
        <v>2024</v>
      </c>
      <c r="B130" s="10" t="inlineStr">
        <is>
          <t>支付宝自动转入余利宝</t>
        </is>
      </c>
      <c r="C130" s="10" t="n"/>
      <c r="D130" s="10" t="n"/>
      <c r="E130" s="3" t="inlineStr">
        <is>
          <t>/</t>
        </is>
      </c>
      <c r="F130" s="3" t="inlineStr">
        <is>
          <t>银行存款</t>
        </is>
      </c>
      <c r="G130" s="3" t="inlineStr">
        <is>
          <t>银行存款</t>
        </is>
      </c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5" t="n">
        <v>2022</v>
      </c>
      <c r="B131" s="10" t="inlineStr">
        <is>
          <t>转出到支付宝余额</t>
        </is>
      </c>
      <c r="C131" s="10" t="n"/>
      <c r="D131" s="10" t="n"/>
      <c r="E131" s="3" t="inlineStr">
        <is>
          <t>/</t>
        </is>
      </c>
      <c r="F131" s="3" t="inlineStr">
        <is>
          <t>银行存款</t>
        </is>
      </c>
      <c r="G131" s="3" t="inlineStr">
        <is>
          <t>银行存款</t>
        </is>
      </c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5" t="n">
        <v>2023</v>
      </c>
      <c r="B132" s="10" t="inlineStr">
        <is>
          <t>转出到支付宝余额</t>
        </is>
      </c>
      <c r="C132" s="10" t="n"/>
      <c r="D132" s="10" t="n"/>
      <c r="E132" s="3" t="inlineStr">
        <is>
          <t>/</t>
        </is>
      </c>
      <c r="F132" s="3" t="inlineStr">
        <is>
          <t>银行存款</t>
        </is>
      </c>
      <c r="G132" s="3" t="inlineStr">
        <is>
          <t>银行存款</t>
        </is>
      </c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5" t="n">
        <v>2024</v>
      </c>
      <c r="B133" s="10" t="inlineStr">
        <is>
          <t>转出到支付宝余额</t>
        </is>
      </c>
      <c r="C133" s="10" t="n"/>
      <c r="D133" s="10" t="n"/>
      <c r="E133" s="3" t="inlineStr">
        <is>
          <t>/</t>
        </is>
      </c>
      <c r="F133" s="3" t="inlineStr">
        <is>
          <t>银行存款</t>
        </is>
      </c>
      <c r="G133" s="3" t="inlineStr">
        <is>
          <t>银行存款</t>
        </is>
      </c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5" t="n"/>
      <c r="B134" s="10" t="n"/>
      <c r="C134" s="10" t="n"/>
      <c r="D134" s="7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5" t="n"/>
      <c r="B135" s="3" t="n"/>
      <c r="C135" s="3" t="n"/>
      <c r="D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5" t="n"/>
      <c r="B136" s="3" t="n"/>
      <c r="C136" s="3" t="n"/>
      <c r="D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5" t="n"/>
      <c r="B137" s="3" t="n"/>
      <c r="C137" s="3" t="n"/>
      <c r="D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5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5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5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5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5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5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5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5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5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5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5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5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5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5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5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5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5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5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5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5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5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5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5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5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5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5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5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5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5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5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5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5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5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5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5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5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5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5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5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5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5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5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5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5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5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5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5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5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5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5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5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5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5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5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5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5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5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5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5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5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5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5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5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5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5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5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5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5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5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5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5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5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5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5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5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5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5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5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5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5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5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5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5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5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5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5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5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5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5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5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5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5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5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5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5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5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5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5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5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5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5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5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5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5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5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5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5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5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5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5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5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5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5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5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5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5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5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5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5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5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5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5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5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5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5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5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5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5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5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5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5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5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5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5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5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5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5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5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5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5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5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5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5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5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5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5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5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5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5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5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5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5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5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5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5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5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5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5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5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5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5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5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5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5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5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5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5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5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5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5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5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5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5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5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5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5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5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5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5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5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5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5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5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5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5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5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5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5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5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5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5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5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5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5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5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5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5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5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5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5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5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5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5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5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5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5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5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5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5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5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5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5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5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5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5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5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5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5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5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5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5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5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5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5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5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5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5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5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5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5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5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5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5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5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5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5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5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5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5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5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5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5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5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5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5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5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5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5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5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5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5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5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5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5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5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5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5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5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5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5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5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5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5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5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5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5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5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5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5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5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5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5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5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5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5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5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5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5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5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5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5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5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5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5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5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5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5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5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5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5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5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5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5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5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5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5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5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5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5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5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5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5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5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5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5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5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5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5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5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5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5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5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5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5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5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5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5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5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5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5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5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5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5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5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5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5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5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5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5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5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5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5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5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5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5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5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5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5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5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5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5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5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5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5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5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5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5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5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5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5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5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5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5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5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5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5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5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5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5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5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5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5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5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5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5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5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5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5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5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5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5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5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5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5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5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5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5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5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5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5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5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5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5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5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5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5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5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5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5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5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5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5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5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5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5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5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5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5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5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5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5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5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5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5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5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5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5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5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5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5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5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5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5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5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5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5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5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5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5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5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5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5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5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5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5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5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5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5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5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5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5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5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5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5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5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5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5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5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5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5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5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5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5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5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5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5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5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5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5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5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5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5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5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5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5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5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5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5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5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5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5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5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5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5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5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5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5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5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5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5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5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5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5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5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5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5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5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5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5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5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5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5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5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5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5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5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5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5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5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5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5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5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5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5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5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5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5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5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5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5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5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5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5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5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5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5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5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5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5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5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5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5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5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5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5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5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5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5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5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5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5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5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5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5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5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5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5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5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5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5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5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5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5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5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5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5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5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5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5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5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5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5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5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5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5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5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5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5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5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5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5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5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5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5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5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5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5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5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5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5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5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5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5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5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5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5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5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5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5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5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5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5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5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5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5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5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5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5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5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5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5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5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5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5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5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5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5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5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5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5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5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5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5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5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5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5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5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5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5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5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5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5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5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5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5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5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5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5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5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5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5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5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5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5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5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5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5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5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5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5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5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5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5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5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5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5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5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5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5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5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5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5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5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5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5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5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5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5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5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5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5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5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5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5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5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5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5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5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5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5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5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5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5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5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5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5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5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5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5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5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5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5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5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5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5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5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5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5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5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5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5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5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5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5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5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5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5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5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5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5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5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5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5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5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5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5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5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5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5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5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5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5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5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5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5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5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5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5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5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5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5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5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5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5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5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5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5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5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5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5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5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5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5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5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5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5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5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5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5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5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5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5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5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5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5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5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5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5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5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5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5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5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5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5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5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5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5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5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5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5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5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5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5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5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5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5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5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5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5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5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5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5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5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5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5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5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5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5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5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5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5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5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5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5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5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5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5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5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5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5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5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5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5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5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5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5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5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5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5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5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5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5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5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5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5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5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5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5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5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5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5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5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5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5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5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5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5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5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5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5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5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5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5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5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5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5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5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5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5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5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5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5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5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5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5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5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5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5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5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5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5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5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5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5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5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5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5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5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5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5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5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5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5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5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5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5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0" t="n">
        <v>2024</v>
      </c>
      <c r="B974" s="0" t="inlineStr">
        <is>
          <t>捐赠收入</t>
        </is>
      </c>
      <c r="C974" s="0" t="inlineStr">
        <is>
          <t>捐贈收入4020</t>
        </is>
      </c>
      <c r="D974" s="0" t="inlineStr">
        <is>
          <t>銀行存款1002</t>
        </is>
      </c>
      <c r="E974" s="0" t="inlineStr">
        <is>
          <t>捐赠收入</t>
        </is>
      </c>
      <c r="F974" s="0" t="inlineStr">
        <is>
          <t>捐赠收入</t>
        </is>
      </c>
      <c r="G974" s="0" t="inlineStr">
        <is>
          <t>银行存款</t>
        </is>
      </c>
      <c r="H974" s="0" t="inlineStr">
        <is>
          <t>捐赠/打赏收入</t>
        </is>
      </c>
    </row>
    <row r="975">
      <c r="A975" s="0" t="n">
        <v>2024</v>
      </c>
      <c r="B975" s="0" t="inlineStr">
        <is>
          <t>社群维护</t>
        </is>
      </c>
      <c r="C975" s="0" t="inlineStr">
        <is>
          <t>銀行存款1002</t>
        </is>
      </c>
      <c r="D975" s="0" t="inlineStr">
        <is>
          <t>社群维护5030</t>
        </is>
      </c>
      <c r="E975" s="0" t="inlineStr">
        <is>
          <t>社群维护</t>
        </is>
      </c>
      <c r="F975" s="0" t="inlineStr">
        <is>
          <t>银行存款</t>
        </is>
      </c>
      <c r="G975" s="0" t="inlineStr">
        <is>
          <t>社群维护</t>
        </is>
      </c>
      <c r="H975" s="0" t="inlineStr">
        <is>
          <t>社群活动/维护费用</t>
        </is>
      </c>
    </row>
    <row r="976">
      <c r="A976" s="0" t="n">
        <v>2024</v>
      </c>
      <c r="B976" s="0" t="inlineStr">
        <is>
          <t>宣传推广</t>
        </is>
      </c>
      <c r="C976" s="0" t="inlineStr">
        <is>
          <t>銀行存款1002</t>
        </is>
      </c>
      <c r="D976" s="0" t="inlineStr">
        <is>
          <t>宣传推广5020</t>
        </is>
      </c>
      <c r="E976" s="0" t="inlineStr">
        <is>
          <t>宣传推广</t>
        </is>
      </c>
      <c r="F976" s="0" t="inlineStr">
        <is>
          <t>银行存款</t>
        </is>
      </c>
      <c r="G976" s="0" t="inlineStr">
        <is>
          <t>宣传推广</t>
        </is>
      </c>
      <c r="H976" s="0" t="inlineStr">
        <is>
          <t>宣传/推广费用</t>
        </is>
      </c>
    </row>
    <row r="977">
      <c r="A977" s="0" t="n">
        <v>2024</v>
      </c>
      <c r="B977" s="0" t="inlineStr">
        <is>
          <t>应付OL押金</t>
        </is>
      </c>
      <c r="C977" s="0" t="inlineStr">
        <is>
          <t>应付OL押金2301</t>
        </is>
      </c>
      <c r="D977" s="0" t="inlineStr">
        <is>
          <t>銀行存款1002</t>
        </is>
      </c>
      <c r="E977" s="0" t="inlineStr">
        <is>
          <t>应付OL押金</t>
        </is>
      </c>
      <c r="F977" s="0" t="inlineStr">
        <is>
          <t>应付OL押金</t>
        </is>
      </c>
      <c r="G977" s="0" t="inlineStr">
        <is>
          <t>银行存款</t>
        </is>
      </c>
      <c r="H977" s="0" t="inlineStr">
        <is>
          <t>收取线上课程押金</t>
        </is>
      </c>
    </row>
    <row r="978">
      <c r="A978" s="0" t="n">
        <v>2024</v>
      </c>
      <c r="B978" s="0" t="inlineStr">
        <is>
          <t>应付OL奖助</t>
        </is>
      </c>
      <c r="C978" s="0" t="inlineStr">
        <is>
          <t>应付OL奖助2302</t>
        </is>
      </c>
      <c r="D978" s="0" t="inlineStr">
        <is>
          <t>銀行存款1002</t>
        </is>
      </c>
      <c r="E978" s="0" t="inlineStr">
        <is>
          <t>应付OL奖助</t>
        </is>
      </c>
      <c r="F978" s="0" t="inlineStr">
        <is>
          <t>应付OL奖助</t>
        </is>
      </c>
      <c r="G978" s="0" t="inlineStr">
        <is>
          <t>银行存款</t>
        </is>
      </c>
      <c r="H978" s="0" t="inlineStr">
        <is>
          <t>发放线上课程奖助学金</t>
        </is>
      </c>
    </row>
    <row r="979">
      <c r="A979" s="0" t="n">
        <v>2024</v>
      </c>
      <c r="B979" s="0" t="inlineStr">
        <is>
          <t>支出OL讲师</t>
        </is>
      </c>
      <c r="C979" s="0" t="inlineStr">
        <is>
          <t>銀行存款1002</t>
        </is>
      </c>
      <c r="D979" s="0" t="inlineStr">
        <is>
          <t>支出OL讲师5301</t>
        </is>
      </c>
      <c r="E979" s="0" t="inlineStr">
        <is>
          <t>支出OL讲师</t>
        </is>
      </c>
      <c r="F979" s="0" t="inlineStr">
        <is>
          <t>银行存款</t>
        </is>
      </c>
      <c r="G979" s="0" t="inlineStr">
        <is>
          <t>支出OL讲师</t>
        </is>
      </c>
      <c r="H979" s="0" t="inlineStr">
        <is>
          <t>支付线上课程讲师工资</t>
        </is>
      </c>
    </row>
    <row r="980">
      <c r="A980" s="0" t="n">
        <v>2024</v>
      </c>
      <c r="B980" s="0" t="inlineStr">
        <is>
          <t>T-收入OL</t>
        </is>
      </c>
      <c r="C980" s="0" t="inlineStr">
        <is>
          <t>銀行存款1002</t>
        </is>
      </c>
      <c r="D980" s="0" t="inlineStr">
        <is>
          <t>OL收入4301</t>
        </is>
      </c>
      <c r="E980" s="0" t="inlineStr">
        <is>
          <t>T-收入OL</t>
        </is>
      </c>
      <c r="F980" s="0" t="inlineStr">
        <is>
          <t>银行存款</t>
        </is>
      </c>
      <c r="G980" s="0" t="inlineStr">
        <is>
          <t>收入OL</t>
        </is>
      </c>
      <c r="H980" s="0" t="inlineStr">
        <is>
          <t>线上课程退款（收入冲回）</t>
        </is>
      </c>
    </row>
    <row r="981">
      <c r="A981" s="0" t="n">
        <v>2024</v>
      </c>
      <c r="B981" s="0" t="inlineStr">
        <is>
          <t>律师费</t>
        </is>
      </c>
      <c r="C981" s="0" t="inlineStr">
        <is>
          <t>銀行存款1002</t>
        </is>
      </c>
      <c r="D981" s="0" t="inlineStr">
        <is>
          <t>管理費用5000</t>
        </is>
      </c>
      <c r="E981" s="0" t="inlineStr">
        <is>
          <t>律师费</t>
        </is>
      </c>
      <c r="F981" s="0" t="inlineStr">
        <is>
          <t>银行存款</t>
        </is>
      </c>
      <c r="G981" s="0" t="inlineStr">
        <is>
          <t>管理费用</t>
        </is>
      </c>
      <c r="H981" s="0" t="inlineStr">
        <is>
          <t>律师费/法律服务费</t>
        </is>
      </c>
    </row>
    <row r="982">
      <c r="A982" s="0" t="n">
        <v>2020</v>
      </c>
      <c r="B982" s="0" t="inlineStr">
        <is>
          <t>余利宝收益发放</t>
        </is>
      </c>
      <c r="C982" s="0" t="inlineStr">
        <is>
          <t>投資收益4030</t>
        </is>
      </c>
      <c r="D982" s="0" t="inlineStr">
        <is>
          <t>銀行存款1002</t>
        </is>
      </c>
      <c r="E982" s="0" t="inlineStr">
        <is>
          <t>投资收益</t>
        </is>
      </c>
      <c r="F982" s="0" t="inlineStr">
        <is>
          <t>投资收益</t>
        </is>
      </c>
      <c r="G982" s="0" t="inlineStr">
        <is>
          <t>银行存款</t>
        </is>
      </c>
      <c r="H982" s="0" t="inlineStr">
        <is>
          <t>余利宝每日收益</t>
        </is>
      </c>
    </row>
    <row r="983">
      <c r="A983" s="0" t="n">
        <v>2021</v>
      </c>
      <c r="B983" s="0" t="inlineStr">
        <is>
          <t>余利宝收益发放</t>
        </is>
      </c>
      <c r="C983" s="0" t="inlineStr">
        <is>
          <t>投資收益4030</t>
        </is>
      </c>
      <c r="D983" s="0" t="inlineStr">
        <is>
          <t>銀行存款1002</t>
        </is>
      </c>
      <c r="E983" s="0" t="inlineStr">
        <is>
          <t>投资收益</t>
        </is>
      </c>
      <c r="F983" s="0" t="inlineStr">
        <is>
          <t>投资收益</t>
        </is>
      </c>
      <c r="G983" s="0" t="inlineStr">
        <is>
          <t>银行存款</t>
        </is>
      </c>
      <c r="H983" s="0" t="inlineStr">
        <is>
          <t>余利宝每日收益</t>
        </is>
      </c>
    </row>
    <row r="984">
      <c r="A984" s="0" t="n">
        <v>2020</v>
      </c>
      <c r="B984" s="0" t="inlineStr">
        <is>
          <t>基金收益</t>
        </is>
      </c>
      <c r="C984" s="0" t="inlineStr">
        <is>
          <t>投資收益4030</t>
        </is>
      </c>
      <c r="D984" s="0" t="inlineStr">
        <is>
          <t>銀行存款1002</t>
        </is>
      </c>
      <c r="E984" s="0" t="inlineStr">
        <is>
          <t>投资收益</t>
        </is>
      </c>
      <c r="F984" s="0" t="inlineStr">
        <is>
          <t>投资收益</t>
        </is>
      </c>
      <c r="G984" s="0" t="inlineStr">
        <is>
          <t>银行存款</t>
        </is>
      </c>
      <c r="H984" s="0" t="inlineStr">
        <is>
          <t>货币基金每日收益</t>
        </is>
      </c>
    </row>
    <row r="985">
      <c r="A985" s="0" t="n">
        <v>2024</v>
      </c>
      <c r="B985" s="0" t="inlineStr">
        <is>
          <t>收入OL</t>
        </is>
      </c>
      <c r="C985" s="0" t="inlineStr">
        <is>
          <t>OL收入4301</t>
        </is>
      </c>
      <c r="D985" s="0" t="inlineStr">
        <is>
          <t>銀行存款1002</t>
        </is>
      </c>
      <c r="E985" s="0" t="inlineStr">
        <is>
          <t>收入OL</t>
        </is>
      </c>
      <c r="F985" s="0" t="inlineStr">
        <is>
          <t>收入OL</t>
        </is>
      </c>
      <c r="G985" s="0" t="inlineStr">
        <is>
          <t>银行存款</t>
        </is>
      </c>
      <c r="H985" s="0" t="inlineStr">
        <is>
          <t>Q4线上课程学费收入</t>
        </is>
      </c>
    </row>
    <row r="986">
      <c r="A986" s="0" t="n">
        <v>2024</v>
      </c>
      <c r="B986" s="0" t="inlineStr">
        <is>
          <t>OL-工资</t>
        </is>
      </c>
      <c r="C986" s="0" t="inlineStr">
        <is>
          <t>銀行存款1002</t>
        </is>
      </c>
      <c r="D986" s="0" t="inlineStr">
        <is>
          <t>讲师工资5301</t>
        </is>
      </c>
      <c r="E986" s="0" t="inlineStr">
        <is>
          <t>支出OL讲师</t>
        </is>
      </c>
      <c r="F986" s="0" t="inlineStr">
        <is>
          <t>银行存款</t>
        </is>
      </c>
      <c r="G986" s="0" t="inlineStr">
        <is>
          <t>支出OL讲师</t>
        </is>
      </c>
      <c r="H986" s="0" t="inlineStr">
        <is>
          <t>OL讲师工资（OL-工资格式）</t>
        </is>
      </c>
    </row>
    <row r="987">
      <c r="A987" s="0" t="n">
        <v>2024</v>
      </c>
      <c r="B987" s="0" t="inlineStr">
        <is>
          <t>宣传推广</t>
        </is>
      </c>
      <c r="C987" s="0" t="inlineStr">
        <is>
          <t>銀行存款1002</t>
        </is>
      </c>
      <c r="D987" s="0" t="inlineStr">
        <is>
          <t>宣传推广</t>
        </is>
      </c>
      <c r="E987" s="0" t="inlineStr">
        <is>
          <t>宣传推广</t>
        </is>
      </c>
      <c r="F987" s="0" t="inlineStr">
        <is>
          <t>银行存款</t>
        </is>
      </c>
      <c r="G987" s="0" t="inlineStr">
        <is>
          <t>宣传推广</t>
        </is>
      </c>
      <c r="H987" s="0" t="inlineStr">
        <is>
          <t>宣传推广支出</t>
        </is>
      </c>
    </row>
    <row r="988">
      <c r="A988" s="0" t="n">
        <v>2024</v>
      </c>
      <c r="B988" s="0" t="inlineStr">
        <is>
          <t>社群维护</t>
        </is>
      </c>
      <c r="C988" s="0" t="inlineStr">
        <is>
          <t>銀行存款1002</t>
        </is>
      </c>
      <c r="D988" s="0" t="inlineStr">
        <is>
          <t>社群维护</t>
        </is>
      </c>
      <c r="E988" s="0" t="inlineStr">
        <is>
          <t>社群维护</t>
        </is>
      </c>
      <c r="F988" s="0" t="inlineStr">
        <is>
          <t>银行存款</t>
        </is>
      </c>
      <c r="G988" s="0" t="inlineStr">
        <is>
          <t>社群维护</t>
        </is>
      </c>
      <c r="H988" s="0" t="inlineStr">
        <is>
          <t>社群维护支出</t>
        </is>
      </c>
    </row>
    <row r="989">
      <c r="A989" s="0" t="n">
        <v>2021</v>
      </c>
      <c r="B989" s="0" t="inlineStr">
        <is>
          <t>余利宝</t>
        </is>
      </c>
      <c r="C989" s="0" t="inlineStr">
        <is>
          <t>其他货币资金1200</t>
        </is>
      </c>
      <c r="D989" s="0" t="inlineStr">
        <is>
          <t>銀行存款1002</t>
        </is>
      </c>
      <c r="E989" s="0" t="inlineStr">
        <is>
          <t>余利宝</t>
        </is>
      </c>
      <c r="F989" s="0" t="inlineStr">
        <is>
          <t>投资收益</t>
        </is>
      </c>
      <c r="G989" s="0" t="inlineStr">
        <is>
          <t>银行存款</t>
        </is>
      </c>
      <c r="H989" s="0" t="inlineStr">
        <is>
          <t>支付宝与余利宝资金调动</t>
        </is>
      </c>
    </row>
    <row r="990">
      <c r="A990" s="0" t="n">
        <v>2022</v>
      </c>
      <c r="B990" s="0" t="inlineStr">
        <is>
          <t>余利宝</t>
        </is>
      </c>
      <c r="C990" s="0" t="inlineStr">
        <is>
          <t>其他货币资金1200</t>
        </is>
      </c>
      <c r="D990" s="0" t="inlineStr">
        <is>
          <t>銀行存款1002</t>
        </is>
      </c>
      <c r="E990" s="0" t="inlineStr">
        <is>
          <t>余利宝</t>
        </is>
      </c>
      <c r="F990" s="0" t="inlineStr">
        <is>
          <t>投资收益</t>
        </is>
      </c>
      <c r="G990" s="0" t="inlineStr">
        <is>
          <t>银行存款</t>
        </is>
      </c>
      <c r="H990" s="0" t="inlineStr">
        <is>
          <t>支付宝与余利宝资金调动</t>
        </is>
      </c>
    </row>
    <row r="991">
      <c r="A991" s="0" t="n">
        <v>2024</v>
      </c>
      <c r="B991" s="0" t="inlineStr">
        <is>
          <t>余利宝</t>
        </is>
      </c>
      <c r="C991" s="0" t="inlineStr">
        <is>
          <t>其他货币资金1200</t>
        </is>
      </c>
      <c r="D991" s="0" t="inlineStr">
        <is>
          <t>銀行存款1002</t>
        </is>
      </c>
      <c r="E991" s="0" t="inlineStr">
        <is>
          <t>余利宝</t>
        </is>
      </c>
      <c r="F991" s="0" t="inlineStr">
        <is>
          <t>投资收益</t>
        </is>
      </c>
      <c r="G991" s="0" t="inlineStr">
        <is>
          <t>银行存款</t>
        </is>
      </c>
      <c r="H991" s="0" t="inlineStr">
        <is>
          <t>支付宝与余利宝资金调动</t>
        </is>
      </c>
    </row>
    <row r="992">
      <c r="A992" s="0" t="n">
        <v>2020</v>
      </c>
      <c r="B992" s="0" t="inlineStr">
        <is>
          <t>余利宝</t>
        </is>
      </c>
      <c r="C992" s="0" t="inlineStr">
        <is>
          <t>其他货币资金1200</t>
        </is>
      </c>
      <c r="D992" s="0" t="inlineStr">
        <is>
          <t>銀行存款1002</t>
        </is>
      </c>
      <c r="E992" s="0" t="inlineStr">
        <is>
          <t>余利宝</t>
        </is>
      </c>
      <c r="F992" s="0" t="inlineStr">
        <is>
          <t>投资收益</t>
        </is>
      </c>
      <c r="G992" s="0" t="inlineStr">
        <is>
          <t>银行存款</t>
        </is>
      </c>
      <c r="H992" s="0" t="inlineStr">
        <is>
          <t>支付宝与余利宝资金调动</t>
        </is>
      </c>
    </row>
    <row r="993">
      <c r="A993" s="0" t="n">
        <v>2020</v>
      </c>
      <c r="B993" s="0" t="inlineStr">
        <is>
          <t>转账</t>
        </is>
      </c>
      <c r="C993" s="0" t="inlineStr">
        <is>
          <t>其他货币资金1200</t>
        </is>
      </c>
      <c r="D993" s="0" t="inlineStr">
        <is>
          <t>銀行存款1002</t>
        </is>
      </c>
      <c r="E993" s="0" t="inlineStr">
        <is>
          <t>转账</t>
        </is>
      </c>
      <c r="F993" s="0" t="inlineStr">
        <is>
          <t>银行存款</t>
        </is>
      </c>
      <c r="G993" s="0" t="inlineStr">
        <is>
          <t>银行存款</t>
        </is>
      </c>
      <c r="H993" s="0" t="inlineStr">
        <is>
          <t>内部转账/资金调动</t>
        </is>
      </c>
    </row>
    <row r="994">
      <c r="A994" s="0" t="n">
        <v>2020</v>
      </c>
      <c r="B994" s="0" t="inlineStr">
        <is>
          <t>INVEST</t>
        </is>
      </c>
      <c r="C994" s="0" t="inlineStr">
        <is>
          <t>投資收益4030</t>
        </is>
      </c>
      <c r="D994" s="0" t="inlineStr">
        <is>
          <t>銀行存款1002</t>
        </is>
      </c>
      <c r="E994" s="0" t="inlineStr">
        <is>
          <t>投资收益</t>
        </is>
      </c>
      <c r="F994" s="0" t="inlineStr">
        <is>
          <t>投资收益</t>
        </is>
      </c>
      <c r="G994" s="0" t="inlineStr">
        <is>
          <t>银行存款</t>
        </is>
      </c>
      <c r="H994" s="0" t="inlineStr">
        <is>
          <t>投资账户收益</t>
        </is>
      </c>
    </row>
    <row r="995">
      <c r="A995" s="0" t="n">
        <v>2020</v>
      </c>
      <c r="B995" s="0" t="inlineStr">
        <is>
          <t>基金申购，转入基金账户</t>
        </is>
      </c>
      <c r="C995" s="0" t="inlineStr">
        <is>
          <t>其他货币资金1200</t>
        </is>
      </c>
      <c r="D995" s="0" t="inlineStr">
        <is>
          <t>銀行存款1002</t>
        </is>
      </c>
      <c r="E995" s="0" t="inlineStr">
        <is>
          <t>基金申购</t>
        </is>
      </c>
      <c r="F995" s="0" t="inlineStr">
        <is>
          <t>银行存款</t>
        </is>
      </c>
      <c r="G995" s="0" t="inlineStr">
        <is>
          <t>银行存款</t>
        </is>
      </c>
      <c r="H995" s="0" t="inlineStr">
        <is>
          <t>申购基金转出银行存款</t>
        </is>
      </c>
    </row>
    <row r="996">
      <c r="A996" s="0" t="n">
        <v>2020</v>
      </c>
      <c r="B996" s="0" t="inlineStr">
        <is>
          <t>基金赎回，基金账户转出</t>
        </is>
      </c>
      <c r="C996" s="0" t="inlineStr">
        <is>
          <t>銀行存款1002</t>
        </is>
      </c>
      <c r="D996" s="0" t="inlineStr">
        <is>
          <t>其他货币资金1200</t>
        </is>
      </c>
      <c r="E996" s="0" t="inlineStr">
        <is>
          <t>基金赎回</t>
        </is>
      </c>
      <c r="F996" s="0" t="inlineStr">
        <is>
          <t>银行存款</t>
        </is>
      </c>
      <c r="G996" s="0" t="inlineStr">
        <is>
          <t>银行存款</t>
        </is>
      </c>
      <c r="H996" s="0" t="inlineStr">
        <is>
          <t>赎回基金转入银行存款</t>
        </is>
      </c>
    </row>
    <row r="997">
      <c r="A997" s="0" t="n">
        <v>2020</v>
      </c>
      <c r="B997" s="0" t="inlineStr">
        <is>
          <t>/</t>
        </is>
      </c>
      <c r="C997" s="0" t="inlineStr">
        <is>
          <t>銀行存款1002</t>
        </is>
      </c>
      <c r="D997" s="0" t="inlineStr">
        <is>
          <t>銀行存款1002</t>
        </is>
      </c>
      <c r="E997" s="0" t="inlineStr">
        <is>
          <t>内部转账</t>
        </is>
      </c>
      <c r="F997" s="0" t="inlineStr">
        <is>
          <t>银行存款</t>
        </is>
      </c>
      <c r="G997" s="0" t="inlineStr">
        <is>
          <t>银行存款</t>
        </is>
      </c>
      <c r="H997" s="0" t="inlineStr">
        <is>
          <t>未分类/内部划转</t>
        </is>
      </c>
    </row>
    <row r="998">
      <c r="A998" s="0" t="n">
        <v>2021</v>
      </c>
      <c r="B998" s="0" t="inlineStr">
        <is>
          <t>基金申购，转入基金账户</t>
        </is>
      </c>
      <c r="C998" s="0" t="inlineStr">
        <is>
          <t>其他货币资金1200</t>
        </is>
      </c>
      <c r="D998" s="0" t="inlineStr">
        <is>
          <t>銀行存款1002</t>
        </is>
      </c>
      <c r="E998" s="0" t="inlineStr">
        <is>
          <t>基金申购</t>
        </is>
      </c>
      <c r="F998" s="0" t="inlineStr">
        <is>
          <t>银行存款</t>
        </is>
      </c>
      <c r="G998" s="0" t="inlineStr">
        <is>
          <t>银行存款</t>
        </is>
      </c>
      <c r="H998" s="0" t="inlineStr">
        <is>
          <t>申购基金转出银行存款</t>
        </is>
      </c>
    </row>
    <row r="999">
      <c r="A999" s="0" t="n">
        <v>2021</v>
      </c>
      <c r="B999" s="0" t="inlineStr">
        <is>
          <t>基金赎回，基金账户转出</t>
        </is>
      </c>
      <c r="C999" s="0" t="inlineStr">
        <is>
          <t>銀行存款1002</t>
        </is>
      </c>
      <c r="D999" s="0" t="inlineStr">
        <is>
          <t>其他货币资金1200</t>
        </is>
      </c>
      <c r="E999" s="0" t="inlineStr">
        <is>
          <t>基金赎回</t>
        </is>
      </c>
      <c r="F999" s="0" t="inlineStr">
        <is>
          <t>银行存款</t>
        </is>
      </c>
      <c r="G999" s="0" t="inlineStr">
        <is>
          <t>银行存款</t>
        </is>
      </c>
      <c r="H999" s="0" t="inlineStr">
        <is>
          <t>赎回基金转入银行存款</t>
        </is>
      </c>
    </row>
    <row r="1000">
      <c r="A1000" s="0" t="n">
        <v>2022</v>
      </c>
      <c r="B1000" s="0" t="inlineStr">
        <is>
          <t>基金申购，转入基金账户</t>
        </is>
      </c>
      <c r="C1000" s="0" t="inlineStr">
        <is>
          <t>其他货币资金1200</t>
        </is>
      </c>
      <c r="D1000" s="0" t="inlineStr">
        <is>
          <t>銀行存款1002</t>
        </is>
      </c>
      <c r="E1000" s="0" t="inlineStr">
        <is>
          <t>基金申购</t>
        </is>
      </c>
      <c r="F1000" s="0" t="inlineStr">
        <is>
          <t>银行存款</t>
        </is>
      </c>
      <c r="G1000" s="0" t="inlineStr">
        <is>
          <t>银行存款</t>
        </is>
      </c>
      <c r="H1000" s="0" t="inlineStr">
        <is>
          <t>申购基金转出银行存款</t>
        </is>
      </c>
    </row>
    <row r="1001">
      <c r="A1001" s="0" t="n">
        <v>2022</v>
      </c>
      <c r="B1001" s="0" t="inlineStr">
        <is>
          <t>基金赎回，基金账户转出</t>
        </is>
      </c>
      <c r="C1001" s="0" t="inlineStr">
        <is>
          <t>銀行存款1002</t>
        </is>
      </c>
      <c r="D1001" s="0" t="inlineStr">
        <is>
          <t>其他货币资金1200</t>
        </is>
      </c>
      <c r="E1001" s="0" t="inlineStr">
        <is>
          <t>基金赎回</t>
        </is>
      </c>
      <c r="F1001" s="0" t="inlineStr">
        <is>
          <t>银行存款</t>
        </is>
      </c>
      <c r="G1001" s="0" t="inlineStr">
        <is>
          <t>银行存款</t>
        </is>
      </c>
      <c r="H1001" s="0" t="inlineStr">
        <is>
          <t>赎回基金转入银行存款</t>
        </is>
      </c>
    </row>
    <row r="1002">
      <c r="A1002" s="0" t="n">
        <v>2022</v>
      </c>
      <c r="B1002" s="0" t="inlineStr">
        <is>
          <t>支付宝余额自动转入</t>
        </is>
      </c>
      <c r="C1002" s="0" t="inlineStr">
        <is>
          <t>其他货币资金1200</t>
        </is>
      </c>
      <c r="D1002" s="0" t="inlineStr">
        <is>
          <t>銀行存款1002</t>
        </is>
      </c>
      <c r="E1002" s="0" t="inlineStr">
        <is>
          <t>支付宝转入</t>
        </is>
      </c>
      <c r="F1002" s="0" t="inlineStr">
        <is>
          <t>银行存款</t>
        </is>
      </c>
      <c r="G1002" s="0" t="inlineStr">
        <is>
          <t>银行存款</t>
        </is>
      </c>
      <c r="H1002" s="0" t="inlineStr">
        <is>
          <t>支付宝余额自动转入</t>
        </is>
      </c>
    </row>
    <row r="1003">
      <c r="A1003" s="0" t="n">
        <v>2022</v>
      </c>
      <c r="B1003" s="0" t="inlineStr">
        <is>
          <t>转出到支付宝余额</t>
        </is>
      </c>
      <c r="C1003" s="0" t="inlineStr">
        <is>
          <t>銀行存款1002</t>
        </is>
      </c>
      <c r="D1003" s="0" t="inlineStr">
        <is>
          <t>其他货币资金1200</t>
        </is>
      </c>
      <c r="E1003" s="0" t="inlineStr">
        <is>
          <t>转出支付宝</t>
        </is>
      </c>
      <c r="F1003" s="0" t="inlineStr">
        <is>
          <t>银行存款</t>
        </is>
      </c>
      <c r="G1003" s="0" t="inlineStr">
        <is>
          <t>银行存款</t>
        </is>
      </c>
      <c r="H1003" s="0" t="inlineStr">
        <is>
          <t>转出到支付宝余额</t>
        </is>
      </c>
    </row>
    <row r="1004">
      <c r="A1004" s="0" t="n">
        <v>2022</v>
      </c>
      <c r="B1004" s="0" t="inlineStr">
        <is>
          <t>/</t>
        </is>
      </c>
      <c r="C1004" s="0" t="inlineStr">
        <is>
          <t>銀行存款1002</t>
        </is>
      </c>
      <c r="D1004" s="0" t="inlineStr">
        <is>
          <t>銀行存款1002</t>
        </is>
      </c>
      <c r="E1004" s="0" t="inlineStr">
        <is>
          <t>内部转账</t>
        </is>
      </c>
      <c r="F1004" s="0" t="inlineStr">
        <is>
          <t>银行存款</t>
        </is>
      </c>
      <c r="G1004" s="0" t="inlineStr">
        <is>
          <t>银行存款</t>
        </is>
      </c>
      <c r="H1004" s="0" t="inlineStr">
        <is>
          <t>未分类/内部划转</t>
        </is>
      </c>
    </row>
    <row r="1005">
      <c r="A1005" s="0" t="n">
        <v>2024</v>
      </c>
      <c r="B1005" s="0" t="inlineStr">
        <is>
          <t>支付宝自动转入余利宝</t>
        </is>
      </c>
      <c r="C1005" s="0" t="inlineStr">
        <is>
          <t>其他货币资金1200</t>
        </is>
      </c>
      <c r="D1005" s="0" t="inlineStr">
        <is>
          <t>銀行存款1002</t>
        </is>
      </c>
      <c r="E1005" s="0" t="inlineStr">
        <is>
          <t>转入余利宝</t>
        </is>
      </c>
      <c r="F1005" s="0" t="inlineStr">
        <is>
          <t>银行存款</t>
        </is>
      </c>
      <c r="G1005" s="0" t="inlineStr">
        <is>
          <t>银行存款</t>
        </is>
      </c>
      <c r="H1005" s="0" t="inlineStr">
        <is>
          <t>支付宝自动转入余利宝</t>
        </is>
      </c>
    </row>
    <row r="1006">
      <c r="A1006" s="0" t="n">
        <v>2024</v>
      </c>
      <c r="B1006" s="0" t="inlineStr">
        <is>
          <t>余利宝转出到支付宝</t>
        </is>
      </c>
      <c r="C1006" s="0" t="inlineStr">
        <is>
          <t>銀行存款1002</t>
        </is>
      </c>
      <c r="D1006" s="0" t="inlineStr">
        <is>
          <t>其他货币资金1200</t>
        </is>
      </c>
      <c r="E1006" s="0" t="inlineStr">
        <is>
          <t>转出余利宝</t>
        </is>
      </c>
      <c r="F1006" s="0" t="inlineStr">
        <is>
          <t>银行存款</t>
        </is>
      </c>
      <c r="G1006" s="0" t="inlineStr">
        <is>
          <t>银行存款</t>
        </is>
      </c>
      <c r="H1006" s="0" t="inlineStr">
        <is>
          <t>余利宝转出到支付宝</t>
        </is>
      </c>
    </row>
    <row r="1007">
      <c r="A1007" s="0" t="n">
        <v>2024</v>
      </c>
      <c r="B1007" s="0" t="inlineStr">
        <is>
          <t>支付宝余额自动转入</t>
        </is>
      </c>
      <c r="C1007" s="0" t="inlineStr">
        <is>
          <t>其他货币资金1200</t>
        </is>
      </c>
      <c r="D1007" s="0" t="inlineStr">
        <is>
          <t>銀行存款1002</t>
        </is>
      </c>
      <c r="E1007" s="0" t="inlineStr">
        <is>
          <t>支付宝转入</t>
        </is>
      </c>
      <c r="F1007" s="0" t="inlineStr">
        <is>
          <t>银行存款</t>
        </is>
      </c>
      <c r="G1007" s="0" t="inlineStr">
        <is>
          <t>银行存款</t>
        </is>
      </c>
      <c r="H1007" s="0" t="inlineStr">
        <is>
          <t>支付宝余额自动转入</t>
        </is>
      </c>
    </row>
    <row r="1008">
      <c r="A1008" s="0" t="n">
        <v>2024</v>
      </c>
      <c r="B1008" s="0" t="inlineStr">
        <is>
          <t>转出到支付宝余额</t>
        </is>
      </c>
      <c r="C1008" s="0" t="inlineStr">
        <is>
          <t>銀行存款1002</t>
        </is>
      </c>
      <c r="D1008" s="0" t="inlineStr">
        <is>
          <t>其他货币资金1200</t>
        </is>
      </c>
      <c r="E1008" s="0" t="inlineStr">
        <is>
          <t>转出支付宝</t>
        </is>
      </c>
      <c r="F1008" s="0" t="inlineStr">
        <is>
          <t>银行存款</t>
        </is>
      </c>
      <c r="G1008" s="0" t="inlineStr">
        <is>
          <t>银行存款</t>
        </is>
      </c>
      <c r="H1008" s="0" t="inlineStr">
        <is>
          <t>转出到支付宝余额</t>
        </is>
      </c>
    </row>
    <row r="1009">
      <c r="A1009" s="0" t="n">
        <v>2024</v>
      </c>
      <c r="B1009" s="0" t="inlineStr">
        <is>
          <t>to支付宝</t>
        </is>
      </c>
      <c r="C1009" s="0" t="inlineStr">
        <is>
          <t>其他货币资金1200</t>
        </is>
      </c>
      <c r="D1009" s="0" t="inlineStr">
        <is>
          <t>銀行存款1002</t>
        </is>
      </c>
      <c r="E1009" s="0" t="inlineStr">
        <is>
          <t>to支付宝</t>
        </is>
      </c>
      <c r="F1009" s="0" t="inlineStr">
        <is>
          <t>银行存款</t>
        </is>
      </c>
      <c r="G1009" s="0" t="inlineStr">
        <is>
          <t>银行存款</t>
        </is>
      </c>
      <c r="H1009" s="0" t="inlineStr">
        <is>
          <t>对公/其他转至支付宝</t>
        </is>
      </c>
    </row>
    <row r="1010">
      <c r="A1010" s="0" t="n">
        <v>2024</v>
      </c>
      <c r="B1010" s="0" t="inlineStr">
        <is>
          <t>/</t>
        </is>
      </c>
      <c r="C1010" s="0" t="inlineStr">
        <is>
          <t>銀行存款1002</t>
        </is>
      </c>
      <c r="D1010" s="0" t="inlineStr">
        <is>
          <t>銀行存款1002</t>
        </is>
      </c>
      <c r="E1010" s="0" t="inlineStr">
        <is>
          <t>内部转账</t>
        </is>
      </c>
      <c r="F1010" s="0" t="inlineStr">
        <is>
          <t>银行存款</t>
        </is>
      </c>
      <c r="G1010" s="0" t="inlineStr">
        <is>
          <t>银行存款</t>
        </is>
      </c>
      <c r="H1010" s="0" t="inlineStr">
        <is>
          <t>未分类/内部划转</t>
        </is>
      </c>
    </row>
    <row r="1011">
      <c r="A1011" s="0" t="n">
        <v>2024</v>
      </c>
      <c r="B1011" s="0" t="inlineStr">
        <is>
          <t>对公-&gt;支付宝</t>
        </is>
      </c>
      <c r="C1011" s="0" t="inlineStr">
        <is>
          <t>其他货币资金1200</t>
        </is>
      </c>
      <c r="D1011" s="0" t="inlineStr">
        <is>
          <t>銀行存款1002</t>
        </is>
      </c>
      <c r="E1011" s="0" t="inlineStr">
        <is>
          <t>对公-&gt;支付宝</t>
        </is>
      </c>
      <c r="F1011" s="0" t="inlineStr">
        <is>
          <t>银行存款</t>
        </is>
      </c>
      <c r="G1011" s="0" t="inlineStr">
        <is>
          <t>银行存款</t>
        </is>
      </c>
      <c r="H1011" s="0" t="inlineStr">
        <is>
          <t>对公账户转至支付宝</t>
        </is>
      </c>
    </row>
    <row r="1012">
      <c r="A1012" s="0" t="n">
        <v>2020</v>
      </c>
      <c r="B1012" s="0" t="inlineStr">
        <is>
          <t>书童</t>
        </is>
      </c>
      <c r="C1012" s="0" t="inlineStr">
        <is>
          <t>捐贈收入4020</t>
        </is>
      </c>
      <c r="D1012" s="0" t="inlineStr">
        <is>
          <t>銀行存款1002</t>
        </is>
      </c>
      <c r="E1012" s="0" t="inlineStr">
        <is>
          <t>捐赠收入</t>
        </is>
      </c>
      <c r="F1012" s="0" t="inlineStr">
        <is>
          <t>捐赠收入</t>
        </is>
      </c>
      <c r="G1012" s="0" t="inlineStr">
        <is>
          <t>银行存款</t>
        </is>
      </c>
      <c r="H1012" s="0" t="inlineStr">
        <is>
          <t>书童/打赏类捐赠</t>
        </is>
      </c>
    </row>
    <row r="1013">
      <c r="A1013" s="0" t="n">
        <v>2020</v>
      </c>
      <c r="B1013" s="0" t="inlineStr">
        <is>
          <t>欠费补收</t>
        </is>
      </c>
      <c r="C1013" s="0" t="inlineStr">
        <is>
          <t>銀行存款1002</t>
        </is>
      </c>
      <c r="D1013" s="0" t="inlineStr">
        <is>
          <t>管理費用5000</t>
        </is>
      </c>
      <c r="E1013" s="0" t="inlineStr">
        <is>
          <t>欠费补收</t>
        </is>
      </c>
      <c r="F1013" s="0" t="inlineStr">
        <is>
          <t>银行存款</t>
        </is>
      </c>
      <c r="G1013" s="0" t="inlineStr">
        <is>
          <t>管理费用</t>
        </is>
      </c>
      <c r="H1013" s="0" t="inlineStr">
        <is>
          <t>欠费补收支出</t>
        </is>
      </c>
    </row>
    <row r="1014">
      <c r="A1014" s="0" t="n">
        <v>2020</v>
      </c>
      <c r="B1014" s="0" t="inlineStr">
        <is>
          <t>转入/转出</t>
        </is>
      </c>
      <c r="C1014" s="0" t="inlineStr">
        <is>
          <t>其他货币资金1200</t>
        </is>
      </c>
      <c r="D1014" s="0" t="inlineStr">
        <is>
          <t>銀行存款1002</t>
        </is>
      </c>
      <c r="E1014" s="0" t="inlineStr">
        <is>
          <t>转入转出</t>
        </is>
      </c>
      <c r="F1014" s="0" t="inlineStr">
        <is>
          <t>银行存款</t>
        </is>
      </c>
      <c r="G1014" s="0" t="inlineStr">
        <is>
          <t>银行存款</t>
        </is>
      </c>
      <c r="H1014" s="0" t="inlineStr">
        <is>
          <t>转入转出</t>
        </is>
      </c>
    </row>
    <row r="1015">
      <c r="A1015" s="0" t="n">
        <v>2020</v>
      </c>
      <c r="B1015" s="0" t="inlineStr">
        <is>
          <t>OL-N-A</t>
        </is>
      </c>
      <c r="C1015" s="0" t="inlineStr">
        <is>
          <t>OL收入4301</t>
        </is>
      </c>
      <c r="D1015" s="0" t="inlineStr">
        <is>
          <t>銀行存款1002</t>
        </is>
      </c>
      <c r="E1015" s="0" t="inlineStr">
        <is>
          <t>收入OL</t>
        </is>
      </c>
      <c r="F1015" s="0" t="inlineStr">
        <is>
          <t>收入OL</t>
        </is>
      </c>
      <c r="G1015" s="0" t="inlineStr">
        <is>
          <t>银行存款</t>
        </is>
      </c>
      <c r="H1015" s="0" t="inlineStr">
        <is>
          <t>OL-N-A退款/收入</t>
        </is>
      </c>
    </row>
    <row r="1016">
      <c r="A1016" s="0" t="n">
        <v>2021</v>
      </c>
      <c r="B1016" s="0" t="inlineStr">
        <is>
          <t>workshop</t>
        </is>
      </c>
      <c r="C1016" s="0" t="inlineStr">
        <is>
          <t>收入SC4200</t>
        </is>
      </c>
      <c r="D1016" s="0" t="inlineStr">
        <is>
          <t>銀行存款1002</t>
        </is>
      </c>
      <c r="E1016" s="0" t="inlineStr">
        <is>
          <t>收入SC</t>
        </is>
      </c>
      <c r="F1016" s="0" t="inlineStr">
        <is>
          <t>收入SC</t>
        </is>
      </c>
      <c r="G1016" s="0" t="inlineStr">
        <is>
          <t>银行存款</t>
        </is>
      </c>
      <c r="H1016" s="0" t="inlineStr">
        <is>
          <t>Workshop工作坊收入</t>
        </is>
      </c>
    </row>
    <row r="1017">
      <c r="A1017" s="0" t="n">
        <v>2020</v>
      </c>
      <c r="B1017" s="0" t="inlineStr">
        <is>
          <t>Workshop-FEE</t>
        </is>
      </c>
      <c r="E1017" s="0" t="inlineStr">
        <is>
          <t>收入SC</t>
        </is>
      </c>
      <c r="F1017" s="0" t="inlineStr">
        <is>
          <t>收入SC</t>
        </is>
      </c>
      <c r="G1017" s="0" t="inlineStr">
        <is>
          <t>银行存款</t>
        </is>
      </c>
      <c r="H1017" s="0" t="inlineStr">
        <is>
          <t>Workshop fee income</t>
        </is>
      </c>
    </row>
    <row r="1018">
      <c r="A1018" s="0" t="n">
        <v>2021</v>
      </c>
      <c r="B1018" s="0" t="inlineStr">
        <is>
          <t>workshop-fee</t>
        </is>
      </c>
      <c r="E1018" s="0" t="inlineStr">
        <is>
          <t>收入SC</t>
        </is>
      </c>
      <c r="F1018" s="0" t="inlineStr">
        <is>
          <t>收入SC</t>
        </is>
      </c>
      <c r="G1018" s="0" t="inlineStr">
        <is>
          <t>银行存款</t>
        </is>
      </c>
      <c r="H1018" s="0" t="inlineStr">
        <is>
          <t>Workshop fee income</t>
        </is>
      </c>
    </row>
    <row r="1019">
      <c r="A1019" s="0" t="n">
        <v>2020</v>
      </c>
      <c r="B1019" s="0" t="inlineStr">
        <is>
          <t>test</t>
        </is>
      </c>
      <c r="F1019" s="0" t="inlineStr">
        <is>
          <t>银行存款</t>
        </is>
      </c>
      <c r="G1019" s="0" t="inlineStr">
        <is>
          <t>银行存款</t>
        </is>
      </c>
      <c r="H1019" s="0" t="inlineStr">
        <is>
          <t>测试条目请会计确认</t>
        </is>
      </c>
    </row>
    <row r="1020">
      <c r="A1020" s="0" t="n">
        <v>2020</v>
      </c>
      <c r="B1020" s="0" t="inlineStr">
        <is>
          <t>结息</t>
        </is>
      </c>
      <c r="E1020" s="0" t="inlineStr">
        <is>
          <t>投资收益</t>
        </is>
      </c>
      <c r="F1020" s="0" t="inlineStr">
        <is>
          <t>投资收益</t>
        </is>
      </c>
      <c r="G1020" s="0" t="inlineStr">
        <is>
          <t>银行存款</t>
        </is>
      </c>
      <c r="H1020" s="0" t="inlineStr">
        <is>
          <t>银行结息</t>
        </is>
      </c>
    </row>
    <row r="1021">
      <c r="A1021" s="0" t="n">
        <v>2023</v>
      </c>
      <c r="B1021" s="0" t="inlineStr">
        <is>
          <t>支付宝余额自动转入</t>
        </is>
      </c>
      <c r="F1021" s="0" t="inlineStr">
        <is>
          <t>银行存款</t>
        </is>
      </c>
      <c r="G1021" s="0" t="inlineStr">
        <is>
          <t>银行存款</t>
        </is>
      </c>
      <c r="H1021" s="0" t="inlineStr">
        <is>
          <t>支付宝转入</t>
        </is>
      </c>
    </row>
    <row r="1022">
      <c r="A1022" s="0" t="n">
        <v>2023</v>
      </c>
      <c r="B1022" s="0" t="inlineStr">
        <is>
          <t>转出到支付宝余额</t>
        </is>
      </c>
      <c r="F1022" s="0" t="inlineStr">
        <is>
          <t>银行存款</t>
        </is>
      </c>
      <c r="G1022" s="0" t="inlineStr">
        <is>
          <t>银行存款</t>
        </is>
      </c>
      <c r="H1022" s="0" t="inlineStr">
        <is>
          <t>转出到支付宝</t>
        </is>
      </c>
    </row>
    <row r="1023">
      <c r="A1023" t="n">
        <v>2020</v>
      </c>
      <c r="B1023" t="inlineStr">
        <is>
          <t>Workshop-fee</t>
        </is>
      </c>
      <c r="E1023" t="inlineStr">
        <is>
          <t>收入SC</t>
        </is>
      </c>
      <c r="F1023" t="inlineStr">
        <is>
          <t>收入SC</t>
        </is>
      </c>
      <c r="G1023" t="inlineStr">
        <is>
          <t>银行存款</t>
        </is>
      </c>
      <c r="H1023" t="inlineStr">
        <is>
          <t>工作坊费用收入(与Workshop-FEE同)</t>
        </is>
      </c>
    </row>
    <row r="1024">
      <c r="A1024" t="n">
        <v>2021</v>
      </c>
      <c r="B1024" t="inlineStr">
        <is>
          <t>workshop-FEE</t>
        </is>
      </c>
      <c r="E1024" t="inlineStr">
        <is>
          <t>收入SC</t>
        </is>
      </c>
      <c r="F1024" t="inlineStr">
        <is>
          <t>收入SC</t>
        </is>
      </c>
      <c r="G1024" t="inlineStr">
        <is>
          <t>银行存款</t>
        </is>
      </c>
      <c r="H1024" t="inlineStr">
        <is>
          <t>工作坊费用收入(与workshop-fee同)</t>
        </is>
      </c>
    </row>
  </sheetData>
  <autoFilter ref="$A$2:$H$199">
    <sortState ref="A2:H199">
      <sortCondition ref="D2:D199"/>
      <sortCondition ref="B2:B199"/>
      <sortCondition ref="C2:C199"/>
      <sortCondition ref="A2:A199"/>
      <sortCondition ref="E2:E199"/>
    </sortState>
  </autoFilter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" t="inlineStr">
        <is>
          <t>ledger name</t>
        </is>
      </c>
      <c r="B1" s="19" t="inlineStr">
        <is>
          <t>ledger ID</t>
        </is>
      </c>
      <c r="C1" s="19" t="inlineStr">
        <is>
          <t>#1</t>
        </is>
      </c>
      <c r="D1" s="19" t="n"/>
      <c r="E1" s="19" t="inlineStr">
        <is>
          <t>#2</t>
        </is>
      </c>
      <c r="F1" s="19" t="n"/>
      <c r="G1" s="19" t="inlineStr">
        <is>
          <t>#3</t>
        </is>
      </c>
      <c r="H1" s="19" t="n"/>
      <c r="I1" s="19" t="inlineStr">
        <is>
          <t>#4</t>
        </is>
      </c>
      <c r="J1" s="19" t="n"/>
      <c r="K1" s="19" t="inlineStr">
        <is>
          <t>备注</t>
        </is>
      </c>
    </row>
    <row r="2">
      <c r="A2" s="19" t="inlineStr">
        <is>
          <t>银行存款</t>
        </is>
      </c>
      <c r="B2" s="19" t="n">
        <v>1100</v>
      </c>
      <c r="C2" s="14" t="n">
        <v>1</v>
      </c>
      <c r="D2" s="19" t="inlineStr">
        <is>
          <t>资产</t>
        </is>
      </c>
      <c r="E2" s="14" t="n">
        <v>1</v>
      </c>
      <c r="F2" s="19" t="inlineStr">
        <is>
          <t>人民币银行账户存款</t>
        </is>
      </c>
      <c r="G2" s="19" t="n"/>
      <c r="H2" s="19" t="n"/>
      <c r="I2" s="19" t="n"/>
      <c r="J2" s="19" t="n"/>
      <c r="K2" s="19" t="n"/>
    </row>
    <row r="3">
      <c r="A3" s="19" t="inlineStr">
        <is>
          <t>其他货币资金</t>
        </is>
      </c>
      <c r="B3" s="19" t="n">
        <v>1200</v>
      </c>
      <c r="C3" s="19" t="n"/>
      <c r="D3" s="19" t="n"/>
      <c r="E3" s="14" t="n">
        <v>2</v>
      </c>
      <c r="F3" s="19" t="inlineStr">
        <is>
          <t>其他货币资金</t>
        </is>
      </c>
      <c r="G3" s="19" t="n"/>
      <c r="H3" s="19" t="n"/>
      <c r="I3" s="19" t="n"/>
      <c r="J3" s="19" t="n"/>
      <c r="K3" s="19" t="n"/>
    </row>
    <row r="4">
      <c r="A4" s="19" t="inlineStr">
        <is>
          <t>短期借款</t>
        </is>
      </c>
      <c r="B4" s="19" t="n">
        <v>2010</v>
      </c>
      <c r="C4" s="14" t="n">
        <v>2</v>
      </c>
      <c r="D4" s="19" t="inlineStr">
        <is>
          <t>应付款</t>
        </is>
      </c>
      <c r="E4" s="14" t="n">
        <v>0</v>
      </c>
      <c r="F4" s="19" t="inlineStr">
        <is>
          <t>组织运营</t>
        </is>
      </c>
      <c r="G4" s="14" t="n">
        <v>1</v>
      </c>
      <c r="H4" s="19" t="inlineStr">
        <is>
          <t>短期借款</t>
        </is>
      </c>
      <c r="I4" s="19" t="n"/>
      <c r="J4" s="19" t="n"/>
      <c r="K4" s="19" t="n"/>
    </row>
    <row r="5">
      <c r="A5" s="19" t="inlineStr">
        <is>
          <t>应付SC押金</t>
        </is>
      </c>
      <c r="B5" s="19" t="n">
        <v>2201</v>
      </c>
      <c r="C5" s="19" t="n"/>
      <c r="D5" s="19" t="n"/>
      <c r="E5" s="14" t="n">
        <v>2</v>
      </c>
      <c r="F5" s="19" t="inlineStr">
        <is>
          <t>线下活动</t>
        </is>
      </c>
      <c r="G5" s="14" t="n">
        <v>0</v>
      </c>
      <c r="H5" s="19" t="inlineStr">
        <is>
          <t>书院/工作坊</t>
        </is>
      </c>
      <c r="I5" s="14" t="n">
        <v>1</v>
      </c>
      <c r="J5" s="19" t="inlineStr">
        <is>
          <t>押金</t>
        </is>
      </c>
      <c r="K5" s="19" t="n"/>
    </row>
    <row r="6">
      <c r="A6" s="19" t="inlineStr">
        <is>
          <t>应付SC奖助</t>
        </is>
      </c>
      <c r="B6" s="19" t="n">
        <v>2202</v>
      </c>
      <c r="C6" s="19" t="n"/>
      <c r="D6" s="19" t="n"/>
      <c r="E6" s="19" t="n"/>
      <c r="F6" s="19" t="n"/>
      <c r="G6" s="19" t="n"/>
      <c r="H6" s="19" t="n"/>
      <c r="I6" s="14" t="n">
        <v>2</v>
      </c>
      <c r="J6" s="19" t="inlineStr">
        <is>
          <t>助学金/奖学金</t>
        </is>
      </c>
      <c r="K6" s="19" t="n"/>
    </row>
    <row r="7">
      <c r="A7" s="19" t="inlineStr">
        <is>
          <t>应付税款</t>
        </is>
      </c>
      <c r="B7" s="19" t="n">
        <v>2209</v>
      </c>
      <c r="C7" s="19" t="n"/>
      <c r="D7" s="19" t="n"/>
      <c r="E7" s="19" t="n"/>
      <c r="F7" s="19" t="n"/>
      <c r="G7" s="19" t="n"/>
      <c r="H7" s="19" t="n"/>
      <c r="I7" s="14" t="n">
        <v>9</v>
      </c>
      <c r="J7" s="19" t="inlineStr">
        <is>
          <t>应付税款</t>
        </is>
      </c>
      <c r="K7" s="19" t="inlineStr">
        <is>
          <t>（退税）</t>
        </is>
      </c>
    </row>
    <row r="8">
      <c r="A8" s="19" t="inlineStr">
        <is>
          <t>应付OL押金</t>
        </is>
      </c>
      <c r="B8" s="19" t="n">
        <v>2301</v>
      </c>
      <c r="C8" s="19" t="n"/>
      <c r="D8" s="19" t="n"/>
      <c r="E8" s="14" t="n">
        <v>3</v>
      </c>
      <c r="F8" s="19" t="inlineStr">
        <is>
          <t>线上活动</t>
        </is>
      </c>
      <c r="G8" s="14" t="n">
        <v>0</v>
      </c>
      <c r="H8" s="19" t="inlineStr">
        <is>
          <t>线上课程</t>
        </is>
      </c>
      <c r="I8" s="14" t="n">
        <v>1</v>
      </c>
      <c r="J8" s="19" t="inlineStr">
        <is>
          <t>押金</t>
        </is>
      </c>
      <c r="K8" s="19" t="n"/>
    </row>
    <row r="9">
      <c r="A9" s="19" t="inlineStr">
        <is>
          <t>应付OL奖助</t>
        </is>
      </c>
      <c r="B9" s="19" t="n">
        <v>2302</v>
      </c>
      <c r="C9" s="19" t="n"/>
      <c r="D9" s="19" t="n"/>
      <c r="E9" s="19" t="n"/>
      <c r="F9" s="19" t="n"/>
      <c r="G9" s="19" t="n"/>
      <c r="H9" s="19" t="n"/>
      <c r="I9" s="14" t="n">
        <v>2</v>
      </c>
      <c r="J9" s="19" t="inlineStr">
        <is>
          <t>助学金/奖学金</t>
        </is>
      </c>
      <c r="K9" s="19" t="n"/>
    </row>
    <row r="10">
      <c r="A10" s="19" t="inlineStr">
        <is>
          <t>权益变动</t>
        </is>
      </c>
      <c r="B10" s="19" t="n">
        <v>3000</v>
      </c>
      <c r="C10" s="14" t="n">
        <v>3</v>
      </c>
      <c r="D10" s="19" t="inlineStr">
        <is>
          <t>权益</t>
        </is>
      </c>
      <c r="E10" s="14" t="n">
        <v>0</v>
      </c>
      <c r="F10" s="19" t="n"/>
      <c r="G10" s="14" t="n">
        <v>0</v>
      </c>
      <c r="H10" s="19" t="n"/>
      <c r="I10" s="14" t="n"/>
      <c r="J10" s="19" t="n"/>
      <c r="K10" s="19" t="n"/>
    </row>
    <row r="11">
      <c r="A11" s="19" t="inlineStr">
        <is>
          <t>捐赠收入</t>
        </is>
      </c>
      <c r="B11" s="19" t="n">
        <v>4020</v>
      </c>
      <c r="C11" s="14" t="n">
        <v>4</v>
      </c>
      <c r="D11" s="19" t="inlineStr">
        <is>
          <t>收入</t>
        </is>
      </c>
      <c r="E11" s="14" t="n">
        <v>0</v>
      </c>
      <c r="F11" s="19" t="inlineStr">
        <is>
          <t>组织运营</t>
        </is>
      </c>
      <c r="G11" s="14" t="n">
        <v>2</v>
      </c>
      <c r="H11" s="19" t="inlineStr">
        <is>
          <t>捐赠收入</t>
        </is>
      </c>
      <c r="I11" s="19" t="n"/>
      <c r="J11" s="19" t="n"/>
      <c r="K11" s="19" t="n"/>
    </row>
    <row r="12">
      <c r="A12" s="19" t="inlineStr">
        <is>
          <t>投资收益</t>
        </is>
      </c>
      <c r="B12" s="19" t="n">
        <v>4030</v>
      </c>
      <c r="C12" s="19" t="n"/>
      <c r="D12" s="19" t="n"/>
      <c r="E12" s="19" t="n"/>
      <c r="F12" s="19" t="n"/>
      <c r="G12" s="14" t="n">
        <v>3</v>
      </c>
      <c r="H12" s="19" t="inlineStr">
        <is>
          <t>投资收益</t>
        </is>
      </c>
      <c r="I12" s="19" t="n"/>
      <c r="J12" s="19" t="n"/>
      <c r="K12" s="19" t="n"/>
    </row>
    <row r="13">
      <c r="A13" s="19" t="inlineStr">
        <is>
          <t>收入SC</t>
        </is>
      </c>
      <c r="B13" s="19" t="n">
        <v>4200</v>
      </c>
      <c r="C13" s="19" t="n"/>
      <c r="D13" s="19" t="n"/>
      <c r="E13" s="14" t="n">
        <v>2</v>
      </c>
      <c r="F13" s="19" t="inlineStr">
        <is>
          <t>线下活动</t>
        </is>
      </c>
      <c r="G13" s="14" t="n">
        <v>0</v>
      </c>
      <c r="H13" s="19" t="inlineStr">
        <is>
          <t>书院/工作坊</t>
        </is>
      </c>
      <c r="I13" s="14" t="n"/>
      <c r="J13" s="19" t="n"/>
      <c r="K13" s="19" t="n"/>
    </row>
    <row r="14">
      <c r="A14" s="19" t="inlineStr">
        <is>
          <t>收入OL</t>
        </is>
      </c>
      <c r="B14" s="19" t="n">
        <v>4300</v>
      </c>
      <c r="C14" s="19" t="n"/>
      <c r="D14" s="19" t="n"/>
      <c r="E14" s="14" t="n">
        <v>3</v>
      </c>
      <c r="F14" s="19" t="inlineStr">
        <is>
          <t>线上活动</t>
        </is>
      </c>
      <c r="G14" s="14" t="n">
        <v>0</v>
      </c>
      <c r="H14" s="19" t="inlineStr">
        <is>
          <t>线上课程</t>
        </is>
      </c>
      <c r="I14" s="14" t="n"/>
      <c r="J14" s="19" t="n"/>
      <c r="K14" s="19" t="n"/>
    </row>
    <row r="15">
      <c r="A15" s="19" t="inlineStr">
        <is>
          <t>管理费用</t>
        </is>
      </c>
      <c r="B15" s="19" t="n">
        <v>5000</v>
      </c>
      <c r="C15" s="14" t="n">
        <v>5</v>
      </c>
      <c r="D15" s="19" t="inlineStr">
        <is>
          <t>支出</t>
        </is>
      </c>
      <c r="E15" s="14" t="n">
        <v>0</v>
      </c>
      <c r="F15" s="19" t="inlineStr">
        <is>
          <t>组织运营</t>
        </is>
      </c>
      <c r="G15" s="14" t="n">
        <v>0</v>
      </c>
      <c r="H15" s="19" t="inlineStr">
        <is>
          <t>管理费用</t>
        </is>
      </c>
      <c r="I15" s="19" t="n"/>
      <c r="J15" s="19" t="n"/>
      <c r="K15" s="19" t="n"/>
    </row>
    <row r="16">
      <c r="A16" s="19" t="inlineStr">
        <is>
          <t>组委工资</t>
        </is>
      </c>
      <c r="B16" s="19" t="n">
        <v>5010</v>
      </c>
      <c r="C16" s="19" t="n"/>
      <c r="D16" s="19" t="n"/>
      <c r="E16" s="19" t="n"/>
      <c r="F16" s="19" t="n"/>
      <c r="G16" s="14" t="n">
        <v>1</v>
      </c>
      <c r="H16" s="19" t="inlineStr">
        <is>
          <t>组委工资</t>
        </is>
      </c>
      <c r="I16" s="19" t="n"/>
      <c r="J16" s="19" t="n"/>
      <c r="K16" s="19" t="n"/>
    </row>
    <row r="17">
      <c r="A17" s="19" t="inlineStr">
        <is>
          <t>宣传推广</t>
        </is>
      </c>
      <c r="B17" s="19" t="n">
        <v>5020</v>
      </c>
      <c r="C17" s="19" t="n"/>
      <c r="D17" s="19" t="n"/>
      <c r="E17" s="19" t="n"/>
      <c r="F17" s="19" t="n"/>
      <c r="G17" s="14" t="n">
        <v>2</v>
      </c>
      <c r="H17" s="19" t="inlineStr">
        <is>
          <t>宣传推广</t>
        </is>
      </c>
      <c r="I17" s="19" t="n"/>
      <c r="J17" s="19" t="n"/>
      <c r="K17" s="19" t="n"/>
    </row>
    <row r="18">
      <c r="A18" s="19" t="inlineStr">
        <is>
          <t>社群维护</t>
        </is>
      </c>
      <c r="B18" s="19" t="n">
        <v>5030</v>
      </c>
      <c r="C18" s="19" t="n"/>
      <c r="D18" s="19" t="n"/>
      <c r="E18" s="19" t="n"/>
      <c r="F18" s="19" t="n"/>
      <c r="G18" s="14" t="n">
        <v>3</v>
      </c>
      <c r="H18" s="19" t="inlineStr">
        <is>
          <t>社群维护</t>
        </is>
      </c>
      <c r="I18" s="19" t="n"/>
      <c r="J18" s="19" t="n"/>
      <c r="K18" s="19" t="n"/>
    </row>
    <row r="19">
      <c r="A19" s="19" t="inlineStr">
        <is>
          <t>所得税税款</t>
        </is>
      </c>
      <c r="B19" s="19" t="n">
        <v>5090</v>
      </c>
      <c r="C19" s="19" t="n"/>
      <c r="D19" s="19" t="n"/>
      <c r="E19" s="19" t="n"/>
      <c r="F19" s="19" t="n"/>
      <c r="G19" s="14" t="n">
        <v>9</v>
      </c>
      <c r="H19" s="19" t="inlineStr">
        <is>
          <t>所得税税款</t>
        </is>
      </c>
      <c r="I19" s="19" t="n"/>
      <c r="J19" s="19" t="n"/>
      <c r="K19" s="19" t="n"/>
    </row>
    <row r="20">
      <c r="A20" s="19" t="inlineStr">
        <is>
          <t>支出SC讲师</t>
        </is>
      </c>
      <c r="B20" s="19" t="n">
        <v>5201</v>
      </c>
      <c r="C20" s="19" t="n"/>
      <c r="D20" s="19" t="n"/>
      <c r="E20" s="14" t="n">
        <v>2</v>
      </c>
      <c r="F20" s="19" t="inlineStr">
        <is>
          <t>线下活动</t>
        </is>
      </c>
      <c r="G20" s="14" t="n">
        <v>0</v>
      </c>
      <c r="H20" s="19" t="inlineStr">
        <is>
          <t>书院/工作坊</t>
        </is>
      </c>
      <c r="I20" s="14" t="n">
        <v>1</v>
      </c>
      <c r="J20" s="19" t="inlineStr">
        <is>
          <t>讲师</t>
        </is>
      </c>
      <c r="K20" s="19" t="n"/>
    </row>
    <row r="21">
      <c r="A21" s="19" t="inlineStr">
        <is>
          <t>支出SC组委</t>
        </is>
      </c>
      <c r="B21" s="19" t="n">
        <v>5202</v>
      </c>
      <c r="C21" s="19" t="n"/>
      <c r="D21" s="19" t="n"/>
      <c r="E21" s="19" t="n"/>
      <c r="F21" s="19" t="n"/>
      <c r="G21" s="19" t="n"/>
      <c r="H21" s="19" t="n"/>
      <c r="I21" s="14" t="n">
        <v>2</v>
      </c>
      <c r="J21" s="19" t="inlineStr">
        <is>
          <t>组委</t>
        </is>
      </c>
      <c r="K21" s="19" t="n"/>
    </row>
    <row r="22">
      <c r="A22" s="19" t="inlineStr">
        <is>
          <t>支出SC运营</t>
        </is>
      </c>
      <c r="B22" s="19" t="n">
        <v>5203</v>
      </c>
      <c r="C22" s="19" t="n"/>
      <c r="D22" s="19" t="n"/>
      <c r="E22" s="19" t="n"/>
      <c r="F22" s="19" t="n"/>
      <c r="G22" s="19" t="n"/>
      <c r="H22" s="19" t="n"/>
      <c r="I22" s="14" t="n">
        <v>3</v>
      </c>
      <c r="J22" s="19" t="inlineStr">
        <is>
          <t>运营</t>
        </is>
      </c>
      <c r="K22" s="19" t="n"/>
    </row>
    <row r="23">
      <c r="A23" s="19" t="inlineStr">
        <is>
          <t>支出OL讲师</t>
        </is>
      </c>
      <c r="B23" s="19" t="n">
        <v>5301</v>
      </c>
      <c r="C23" s="19" t="n"/>
      <c r="D23" s="19" t="n"/>
      <c r="E23" s="14" t="n">
        <v>3</v>
      </c>
      <c r="F23" s="19" t="inlineStr">
        <is>
          <t>线上活动</t>
        </is>
      </c>
      <c r="G23" s="14" t="n">
        <v>0</v>
      </c>
      <c r="H23" s="19" t="inlineStr">
        <is>
          <t>线上课程</t>
        </is>
      </c>
      <c r="I23" s="14" t="n">
        <v>1</v>
      </c>
      <c r="J23" s="19" t="inlineStr">
        <is>
          <t>讲师</t>
        </is>
      </c>
      <c r="K23" s="19" t="n"/>
    </row>
    <row r="24">
      <c r="A24" s="19" t="inlineStr">
        <is>
          <t>支出OL组委</t>
        </is>
      </c>
      <c r="B24" s="19" t="n">
        <v>5302</v>
      </c>
      <c r="C24" s="19" t="n"/>
      <c r="D24" s="19" t="n"/>
      <c r="E24" s="19" t="n"/>
      <c r="F24" s="19" t="n"/>
      <c r="G24" s="19" t="n"/>
      <c r="H24" s="19" t="n"/>
      <c r="I24" s="14" t="n">
        <v>2</v>
      </c>
      <c r="J24" s="19" t="inlineStr">
        <is>
          <t>组委</t>
        </is>
      </c>
      <c r="K24" s="19" t="n"/>
    </row>
    <row r="25">
      <c r="A25" s="19" t="inlineStr">
        <is>
          <t>支出OL运营</t>
        </is>
      </c>
      <c r="B25" s="19" t="n">
        <v>5303</v>
      </c>
      <c r="C25" s="19" t="n"/>
      <c r="D25" s="19" t="n"/>
      <c r="E25" s="19" t="n"/>
      <c r="F25" s="19" t="n"/>
      <c r="G25" s="19" t="n"/>
      <c r="H25" s="19" t="n"/>
      <c r="I25" s="14" t="n">
        <v>3</v>
      </c>
      <c r="J25" s="19" t="inlineStr">
        <is>
          <t>运营</t>
        </is>
      </c>
      <c r="K25" s="19" t="n"/>
    </row>
    <row r="26">
      <c r="A26" s="19" t="inlineStr">
        <is>
          <t>支出内容运营</t>
        </is>
      </c>
      <c r="B26" s="19" t="n">
        <v>5310</v>
      </c>
      <c r="C26" s="19" t="n"/>
      <c r="D26" s="19" t="n"/>
      <c r="E26" s="19" t="n"/>
      <c r="F26" s="19" t="n"/>
      <c r="G26" s="14" t="n">
        <v>1</v>
      </c>
      <c r="H26" s="19" t="inlineStr">
        <is>
          <t>播客/研讨屋/通讯</t>
        </is>
      </c>
      <c r="I26" s="19" t="n"/>
      <c r="J26" s="19" t="n"/>
      <c r="K26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0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6.13" customWidth="1" style="27" min="2" max="2"/>
  </cols>
  <sheetData>
    <row r="1">
      <c r="A1" s="21" t="inlineStr">
        <is>
          <t>OLD</t>
        </is>
      </c>
      <c r="C1" s="21" t="n"/>
    </row>
    <row r="2">
      <c r="A2" s="21" t="inlineStr">
        <is>
          <t>year</t>
        </is>
      </c>
      <c r="B2" s="21" t="inlineStr">
        <is>
          <t>ledger name</t>
        </is>
      </c>
      <c r="C2" s="21" t="inlineStr">
        <is>
          <t>ledger ID</t>
        </is>
      </c>
    </row>
    <row r="3">
      <c r="A3" s="21" t="n">
        <v>2021</v>
      </c>
      <c r="B3" s="16" t="inlineStr">
        <is>
          <t>core讲师工资</t>
        </is>
      </c>
      <c r="C3" s="16" t="n">
        <v>5501</v>
      </c>
    </row>
    <row r="4">
      <c r="A4" s="21" t="n">
        <v>2022</v>
      </c>
      <c r="B4" s="17" t="inlineStr">
        <is>
          <t>core讲师工资</t>
        </is>
      </c>
      <c r="C4" s="18" t="n">
        <v>5501</v>
      </c>
    </row>
    <row r="5">
      <c r="A5" s="21" t="n">
        <v>2023</v>
      </c>
      <c r="B5" s="17" t="inlineStr">
        <is>
          <t>core讲师工资</t>
        </is>
      </c>
      <c r="C5" s="18" t="n">
        <v>5501</v>
      </c>
    </row>
    <row r="6">
      <c r="A6" s="21" t="n">
        <v>2021</v>
      </c>
      <c r="B6" s="16" t="inlineStr">
        <is>
          <t>OL收入</t>
        </is>
      </c>
      <c r="C6" s="16" t="n">
        <v>4301</v>
      </c>
    </row>
    <row r="7">
      <c r="A7" s="21" t="n">
        <v>2022</v>
      </c>
      <c r="B7" s="17" t="inlineStr">
        <is>
          <t>OL收入</t>
        </is>
      </c>
      <c r="C7" s="18" t="n">
        <v>4301</v>
      </c>
    </row>
    <row r="8">
      <c r="A8" s="21" t="n">
        <v>2023</v>
      </c>
      <c r="B8" s="17" t="inlineStr">
        <is>
          <t>OL收入</t>
        </is>
      </c>
      <c r="C8" s="18" t="n">
        <v>4301</v>
      </c>
    </row>
    <row r="9">
      <c r="A9" s="21" t="n">
        <v>2024</v>
      </c>
      <c r="B9" s="17" t="inlineStr">
        <is>
          <t>OL收入</t>
        </is>
      </c>
      <c r="C9" s="18" t="n">
        <v>4301</v>
      </c>
    </row>
    <row r="10">
      <c r="A10" s="21" t="n">
        <v>2021</v>
      </c>
      <c r="B10" s="16" t="inlineStr">
        <is>
          <t>OL讲师工资</t>
        </is>
      </c>
      <c r="C10" s="16" t="n">
        <v>5401</v>
      </c>
    </row>
    <row r="11">
      <c r="A11" s="21" t="n">
        <v>2022</v>
      </c>
      <c r="B11" s="17" t="inlineStr">
        <is>
          <t>OL讲师工资</t>
        </is>
      </c>
      <c r="C11" s="18" t="n">
        <v>5401</v>
      </c>
    </row>
    <row r="12">
      <c r="A12" s="21" t="n">
        <v>2023</v>
      </c>
      <c r="B12" s="17" t="inlineStr">
        <is>
          <t>OL讲师工资</t>
        </is>
      </c>
      <c r="C12" s="18" t="n">
        <v>5401</v>
      </c>
    </row>
    <row r="13">
      <c r="A13" s="21" t="n">
        <v>2024</v>
      </c>
      <c r="B13" s="17" t="inlineStr">
        <is>
          <t>OL讲师工资</t>
        </is>
      </c>
      <c r="C13" s="18" t="n">
        <v>5401</v>
      </c>
    </row>
    <row r="14">
      <c r="A14" s="21" t="n">
        <v>2020</v>
      </c>
      <c r="B14" s="16" t="inlineStr">
        <is>
          <t>业务活动成本</t>
        </is>
      </c>
      <c r="C14" s="16" t="n">
        <v>5101</v>
      </c>
    </row>
    <row r="15">
      <c r="A15" s="21" t="n">
        <v>2021</v>
      </c>
      <c r="B15" s="16" t="inlineStr">
        <is>
          <t>业务活动成本</t>
        </is>
      </c>
      <c r="C15" s="16" t="n">
        <v>5001</v>
      </c>
    </row>
    <row r="16">
      <c r="A16" s="21" t="n">
        <v>2022</v>
      </c>
      <c r="B16" s="17" t="inlineStr">
        <is>
          <t>业务活动成本</t>
        </is>
      </c>
      <c r="C16" s="18" t="n">
        <v>5001</v>
      </c>
    </row>
    <row r="17">
      <c r="A17" s="21" t="n">
        <v>2023</v>
      </c>
      <c r="B17" s="17" t="inlineStr">
        <is>
          <t>业务活动成本</t>
        </is>
      </c>
      <c r="C17" s="18" t="n">
        <v>5001</v>
      </c>
    </row>
    <row r="18">
      <c r="A18" s="21" t="n">
        <v>2024</v>
      </c>
      <c r="B18" s="17" t="inlineStr">
        <is>
          <t>业务活动成本</t>
        </is>
      </c>
      <c r="C18" s="18" t="n">
        <v>5001</v>
      </c>
    </row>
    <row r="19">
      <c r="A19" s="21" t="n">
        <v>2024</v>
      </c>
      <c r="B19" s="17" t="inlineStr">
        <is>
          <t>书院讲师组委工资</t>
        </is>
      </c>
      <c r="C19" s="18" t="n">
        <v>5301</v>
      </c>
    </row>
    <row r="20">
      <c r="A20" s="21" t="n">
        <v>2024</v>
      </c>
      <c r="B20" s="17" t="inlineStr">
        <is>
          <t>书院运营成本</t>
        </is>
      </c>
      <c r="C20" s="18" t="n">
        <v>5101</v>
      </c>
    </row>
    <row r="21">
      <c r="A21" s="21" t="n">
        <v>2020</v>
      </c>
      <c r="B21" s="16" t="inlineStr">
        <is>
          <t>会费收入</t>
        </is>
      </c>
      <c r="C21" s="16" t="n">
        <v>4201</v>
      </c>
    </row>
    <row r="22">
      <c r="A22" s="21" t="n">
        <v>2020</v>
      </c>
      <c r="B22" s="16" t="inlineStr">
        <is>
          <t>其他应付款</t>
        </is>
      </c>
      <c r="C22" s="16" t="n">
        <v>2209</v>
      </c>
    </row>
    <row r="23">
      <c r="A23" s="21" t="n">
        <v>2021</v>
      </c>
      <c r="B23" s="16" t="inlineStr">
        <is>
          <t>其他应付款</t>
        </is>
      </c>
      <c r="C23" s="16" t="n">
        <v>2209</v>
      </c>
    </row>
    <row r="24">
      <c r="A24" s="21" t="n">
        <v>2022</v>
      </c>
      <c r="B24" s="17" t="inlineStr">
        <is>
          <t>其他應付款(押金)</t>
        </is>
      </c>
      <c r="C24" s="18" t="n">
        <v>2209</v>
      </c>
    </row>
    <row r="25">
      <c r="A25" s="21" t="n">
        <v>2023</v>
      </c>
      <c r="B25" s="17" t="inlineStr">
        <is>
          <t>其他應付款(押金)</t>
        </is>
      </c>
      <c r="C25" s="18" t="n">
        <v>2209</v>
      </c>
    </row>
    <row r="26">
      <c r="A26" s="21" t="n">
        <v>2024</v>
      </c>
      <c r="B26" s="17" t="inlineStr">
        <is>
          <t>其他應付款(押金)</t>
        </is>
      </c>
      <c r="C26" s="18" t="n">
        <v>2209</v>
      </c>
    </row>
    <row r="27">
      <c r="A27" s="21" t="n">
        <v>2020</v>
      </c>
      <c r="B27" s="16" t="inlineStr">
        <is>
          <t>其他收入</t>
        </is>
      </c>
      <c r="C27" s="16" t="n">
        <v>4901</v>
      </c>
    </row>
    <row r="28">
      <c r="A28" s="21" t="n">
        <v>2021</v>
      </c>
      <c r="B28" s="16" t="inlineStr">
        <is>
          <t>其他收入</t>
        </is>
      </c>
      <c r="C28" s="16" t="n">
        <v>4901</v>
      </c>
    </row>
    <row r="29">
      <c r="A29" s="21" t="n">
        <v>2022</v>
      </c>
      <c r="B29" s="17" t="inlineStr">
        <is>
          <t>其他收入</t>
        </is>
      </c>
      <c r="C29" s="18" t="n">
        <v>4901</v>
      </c>
    </row>
    <row r="30">
      <c r="A30" s="21" t="n">
        <v>2023</v>
      </c>
      <c r="B30" s="17" t="inlineStr">
        <is>
          <t>其他收入</t>
        </is>
      </c>
      <c r="C30" s="18" t="n">
        <v>4901</v>
      </c>
    </row>
    <row r="31">
      <c r="A31" s="21" t="n">
        <v>2024</v>
      </c>
      <c r="B31" s="17" t="inlineStr">
        <is>
          <t>其他收入</t>
        </is>
      </c>
      <c r="C31" s="18" t="n">
        <v>4901</v>
      </c>
    </row>
    <row r="32">
      <c r="A32" s="21" t="n">
        <v>2022</v>
      </c>
      <c r="B32" s="17" t="inlineStr">
        <is>
          <t>其他貨幣資金</t>
        </is>
      </c>
      <c r="C32" s="18" t="n">
        <v>1009</v>
      </c>
    </row>
    <row r="33">
      <c r="A33" s="21" t="n">
        <v>2023</v>
      </c>
      <c r="B33" s="17" t="inlineStr">
        <is>
          <t>其他貨幣資金</t>
        </is>
      </c>
      <c r="C33" s="18" t="n">
        <v>1009</v>
      </c>
    </row>
    <row r="34">
      <c r="A34" s="21" t="n">
        <v>2024</v>
      </c>
      <c r="B34" s="17" t="inlineStr">
        <is>
          <t>其他貨幣資金</t>
        </is>
      </c>
      <c r="C34" s="18" t="n">
        <v>1009</v>
      </c>
    </row>
    <row r="35">
      <c r="A35" s="21" t="n">
        <v>2020</v>
      </c>
      <c r="B35" s="21" t="inlineStr">
        <is>
          <t>其他货币资金</t>
        </is>
      </c>
      <c r="C35" s="21" t="n">
        <v>1009</v>
      </c>
    </row>
    <row r="36">
      <c r="A36" s="21" t="n">
        <v>2021</v>
      </c>
      <c r="B36" s="16" t="inlineStr">
        <is>
          <t>其他货币资金</t>
        </is>
      </c>
      <c r="C36" s="16" t="n">
        <v>1009</v>
      </c>
    </row>
    <row r="37">
      <c r="A37" s="21" t="n">
        <v>2020</v>
      </c>
      <c r="B37" s="16" t="inlineStr">
        <is>
          <t>其他费用</t>
        </is>
      </c>
      <c r="C37" s="16" t="n">
        <v>5401</v>
      </c>
    </row>
    <row r="38">
      <c r="A38" s="21" t="n">
        <v>2022</v>
      </c>
      <c r="B38" s="17" t="inlineStr">
        <is>
          <t>商品銷售收入</t>
        </is>
      </c>
      <c r="C38" s="18" t="n">
        <v>4501</v>
      </c>
    </row>
    <row r="39">
      <c r="A39" s="21" t="n">
        <v>2023</v>
      </c>
      <c r="B39" s="17" t="inlineStr">
        <is>
          <t>商品銷售收入</t>
        </is>
      </c>
      <c r="C39" s="18" t="n">
        <v>4501</v>
      </c>
    </row>
    <row r="40">
      <c r="A40" s="21" t="n">
        <v>2020</v>
      </c>
      <c r="B40" s="16" t="inlineStr">
        <is>
          <t>商品销售收入</t>
        </is>
      </c>
      <c r="C40" s="16" t="n">
        <v>4501</v>
      </c>
    </row>
    <row r="41">
      <c r="A41" s="21" t="n">
        <v>2021</v>
      </c>
      <c r="B41" s="16" t="inlineStr">
        <is>
          <t>商品销售收入</t>
        </is>
      </c>
      <c r="C41" s="16" t="n">
        <v>4501</v>
      </c>
    </row>
    <row r="42">
      <c r="A42" s="21" t="n">
        <v>2022</v>
      </c>
      <c r="B42" s="17" t="inlineStr">
        <is>
          <t>工作坊/书院收入</t>
        </is>
      </c>
      <c r="C42" s="18" t="n">
        <v>4201</v>
      </c>
    </row>
    <row r="43">
      <c r="A43" s="21" t="n">
        <v>2023</v>
      </c>
      <c r="B43" s="17" t="inlineStr">
        <is>
          <t>工作坊/书院收入</t>
        </is>
      </c>
      <c r="C43" s="18" t="n">
        <v>4201</v>
      </c>
    </row>
    <row r="44">
      <c r="A44" s="21" t="n">
        <v>2024</v>
      </c>
      <c r="B44" s="17" t="inlineStr">
        <is>
          <t>工作坊/书院收入</t>
        </is>
      </c>
      <c r="C44" s="18" t="n">
        <v>4201</v>
      </c>
    </row>
    <row r="45">
      <c r="A45" s="21" t="n">
        <v>2022</v>
      </c>
      <c r="B45" s="17" t="inlineStr">
        <is>
          <t>工作坊/书院讲师工资</t>
        </is>
      </c>
      <c r="C45" s="18" t="n">
        <v>5301</v>
      </c>
    </row>
    <row r="46">
      <c r="A46" s="21" t="n">
        <v>2022</v>
      </c>
      <c r="B46" s="17" t="inlineStr">
        <is>
          <t>工作坊/书院运营成本</t>
        </is>
      </c>
      <c r="C46" s="18" t="n">
        <v>5101</v>
      </c>
    </row>
    <row r="47">
      <c r="A47" s="21" t="n">
        <v>2021</v>
      </c>
      <c r="B47" s="16" t="inlineStr">
        <is>
          <t>工作坊收入</t>
        </is>
      </c>
      <c r="C47" s="16" t="n">
        <v>4201</v>
      </c>
    </row>
    <row r="48">
      <c r="A48" s="21" t="n">
        <v>2021</v>
      </c>
      <c r="B48" s="16" t="inlineStr">
        <is>
          <t>工作坊讲师工资</t>
        </is>
      </c>
      <c r="C48" s="16" t="n">
        <v>5301</v>
      </c>
    </row>
    <row r="49">
      <c r="A49" s="21" t="n">
        <v>2023</v>
      </c>
      <c r="B49" s="17" t="inlineStr">
        <is>
          <t>工作坊讲师工资</t>
        </is>
      </c>
      <c r="C49" s="18" t="n">
        <v>5301</v>
      </c>
    </row>
    <row r="50">
      <c r="A50" s="21" t="n">
        <v>2021</v>
      </c>
      <c r="B50" s="16" t="inlineStr">
        <is>
          <t>工作坊运营成本</t>
        </is>
      </c>
      <c r="C50" s="16" t="n">
        <v>5101</v>
      </c>
    </row>
    <row r="51">
      <c r="A51" s="21" t="n">
        <v>2023</v>
      </c>
      <c r="B51" s="17" t="inlineStr">
        <is>
          <t>工作坊运营成本</t>
        </is>
      </c>
      <c r="C51" s="18" t="n">
        <v>5101</v>
      </c>
    </row>
    <row r="52">
      <c r="A52" s="21" t="n">
        <v>2020</v>
      </c>
      <c r="B52" s="16" t="inlineStr">
        <is>
          <t>应交税金</t>
        </is>
      </c>
      <c r="C52" s="16" t="n">
        <v>2206</v>
      </c>
    </row>
    <row r="53">
      <c r="A53" s="21" t="n">
        <v>2021</v>
      </c>
      <c r="B53" s="16" t="inlineStr">
        <is>
          <t>应交税金</t>
        </is>
      </c>
      <c r="C53" s="16" t="n">
        <v>2206</v>
      </c>
    </row>
    <row r="54">
      <c r="A54" s="21" t="n">
        <v>2020</v>
      </c>
      <c r="B54" s="16" t="inlineStr">
        <is>
          <t>应付工资</t>
        </is>
      </c>
      <c r="C54" s="16" t="n">
        <v>2204</v>
      </c>
    </row>
    <row r="55">
      <c r="A55" s="21" t="n">
        <v>2021</v>
      </c>
      <c r="B55" s="16" t="inlineStr">
        <is>
          <t>应付工资</t>
        </is>
      </c>
      <c r="C55" s="16" t="n">
        <v>2204</v>
      </c>
    </row>
    <row r="56">
      <c r="A56" s="21" t="n">
        <v>2020</v>
      </c>
      <c r="B56" s="16" t="inlineStr">
        <is>
          <t>应付票据</t>
        </is>
      </c>
      <c r="C56" s="16" t="n">
        <v>2201</v>
      </c>
    </row>
    <row r="57">
      <c r="A57" s="21" t="n">
        <v>2021</v>
      </c>
      <c r="B57" s="16" t="inlineStr">
        <is>
          <t>应付票据</t>
        </is>
      </c>
      <c r="C57" s="16" t="n">
        <v>2201</v>
      </c>
    </row>
    <row r="58">
      <c r="A58" s="21" t="n">
        <v>2020</v>
      </c>
      <c r="B58" s="16" t="inlineStr">
        <is>
          <t>应付账款</t>
        </is>
      </c>
      <c r="C58" s="16" t="n">
        <v>2202</v>
      </c>
    </row>
    <row r="59">
      <c r="A59" s="21" t="n">
        <v>2021</v>
      </c>
      <c r="B59" s="16" t="inlineStr">
        <is>
          <t>应付账款</t>
        </is>
      </c>
      <c r="C59" s="16" t="n">
        <v>2202</v>
      </c>
    </row>
    <row r="60">
      <c r="A60" s="21" t="n">
        <v>2022</v>
      </c>
      <c r="B60" s="17" t="inlineStr">
        <is>
          <t>投資收益</t>
        </is>
      </c>
      <c r="C60" s="18" t="n">
        <v>4601</v>
      </c>
    </row>
    <row r="61">
      <c r="A61" s="21" t="n">
        <v>2023</v>
      </c>
      <c r="B61" s="17" t="inlineStr">
        <is>
          <t>投資收益</t>
        </is>
      </c>
      <c r="C61" s="18" t="n">
        <v>4601</v>
      </c>
    </row>
    <row r="62">
      <c r="A62" s="21" t="n">
        <v>2024</v>
      </c>
      <c r="B62" s="17" t="inlineStr">
        <is>
          <t>投資收益</t>
        </is>
      </c>
      <c r="C62" s="18" t="n">
        <v>4601</v>
      </c>
    </row>
    <row r="63">
      <c r="A63" s="21" t="n">
        <v>2020</v>
      </c>
      <c r="B63" s="16" t="inlineStr">
        <is>
          <t>投资收益</t>
        </is>
      </c>
      <c r="C63" s="16" t="n">
        <v>4601</v>
      </c>
    </row>
    <row r="64">
      <c r="A64" s="21" t="n">
        <v>2021</v>
      </c>
      <c r="B64" s="16" t="inlineStr">
        <is>
          <t>投资收益</t>
        </is>
      </c>
      <c r="C64" s="16" t="n">
        <v>4601</v>
      </c>
    </row>
    <row r="65">
      <c r="A65" s="21" t="n">
        <v>2022</v>
      </c>
      <c r="B65" s="17" t="inlineStr">
        <is>
          <t>捐贈收入</t>
        </is>
      </c>
      <c r="C65" s="18" t="n">
        <v>4101</v>
      </c>
    </row>
    <row r="66">
      <c r="A66" s="21" t="n">
        <v>2023</v>
      </c>
      <c r="B66" s="17" t="inlineStr">
        <is>
          <t>捐贈收入</t>
        </is>
      </c>
      <c r="C66" s="18" t="n">
        <v>4101</v>
      </c>
    </row>
    <row r="67">
      <c r="A67" s="21" t="n">
        <v>2024</v>
      </c>
      <c r="B67" s="17" t="inlineStr">
        <is>
          <t>捐贈收入</t>
        </is>
      </c>
      <c r="C67" s="18" t="n">
        <v>4101</v>
      </c>
    </row>
    <row r="68">
      <c r="A68" s="21" t="n">
        <v>2020</v>
      </c>
      <c r="B68" s="16" t="inlineStr">
        <is>
          <t>捐赠收入</t>
        </is>
      </c>
      <c r="C68" s="16" t="n">
        <v>4101</v>
      </c>
    </row>
    <row r="69">
      <c r="A69" s="21" t="n">
        <v>2021</v>
      </c>
      <c r="B69" s="16" t="inlineStr">
        <is>
          <t>捐赠收入</t>
        </is>
      </c>
      <c r="C69" s="16" t="n">
        <v>4101</v>
      </c>
    </row>
    <row r="70">
      <c r="A70" s="21" t="n">
        <v>2020</v>
      </c>
      <c r="B70" s="16" t="inlineStr">
        <is>
          <t>提供服务收入</t>
        </is>
      </c>
      <c r="C70" s="16" t="n">
        <v>4301</v>
      </c>
    </row>
    <row r="71">
      <c r="A71" s="21" t="n">
        <v>2024</v>
      </c>
      <c r="B71" s="17" t="inlineStr">
        <is>
          <t>播客/研讨屋</t>
        </is>
      </c>
      <c r="C71" s="18" t="n">
        <v>5501</v>
      </c>
    </row>
    <row r="72">
      <c r="A72" s="21" t="n">
        <v>2020</v>
      </c>
      <c r="B72" s="16" t="inlineStr">
        <is>
          <t>政府补助收入</t>
        </is>
      </c>
      <c r="C72" s="16" t="n">
        <v>4401</v>
      </c>
    </row>
    <row r="73">
      <c r="A73" s="21" t="n">
        <v>2021</v>
      </c>
      <c r="B73" s="16" t="inlineStr">
        <is>
          <t>政府补助收入</t>
        </is>
      </c>
      <c r="C73" s="16" t="n">
        <v>4401</v>
      </c>
    </row>
    <row r="74">
      <c r="A74" s="21" t="n">
        <v>2022</v>
      </c>
      <c r="B74" s="17" t="inlineStr">
        <is>
          <t>政府補助收入</t>
        </is>
      </c>
      <c r="C74" s="18" t="n">
        <v>4401</v>
      </c>
    </row>
    <row r="75">
      <c r="A75" s="21" t="n">
        <v>2023</v>
      </c>
      <c r="B75" s="17" t="inlineStr">
        <is>
          <t>政府補助收入</t>
        </is>
      </c>
      <c r="C75" s="18" t="n">
        <v>4401</v>
      </c>
    </row>
    <row r="76">
      <c r="A76" s="21" t="n">
        <v>2020</v>
      </c>
      <c r="B76" s="21" t="inlineStr">
        <is>
          <t>短期借款</t>
        </is>
      </c>
      <c r="C76" s="21" t="n">
        <v>2101</v>
      </c>
    </row>
    <row r="77">
      <c r="A77" s="21" t="n">
        <v>2021</v>
      </c>
      <c r="B77" s="16" t="inlineStr">
        <is>
          <t>短期借款</t>
        </is>
      </c>
      <c r="C77" s="16" t="n">
        <v>2101</v>
      </c>
    </row>
    <row r="78">
      <c r="A78" s="21" t="n">
        <v>2020</v>
      </c>
      <c r="B78" s="16" t="inlineStr">
        <is>
          <t>筹资费用</t>
        </is>
      </c>
      <c r="C78" s="16" t="n">
        <v>5301</v>
      </c>
    </row>
    <row r="79">
      <c r="A79" s="21" t="n">
        <v>2022</v>
      </c>
      <c r="B79" s="17" t="inlineStr">
        <is>
          <t>管理費用</t>
        </is>
      </c>
      <c r="C79" s="18" t="n">
        <v>5201</v>
      </c>
    </row>
    <row r="80">
      <c r="A80" s="21" t="n">
        <v>2023</v>
      </c>
      <c r="B80" s="17" t="inlineStr">
        <is>
          <t>管理費用</t>
        </is>
      </c>
      <c r="C80" s="18" t="n">
        <v>5201</v>
      </c>
    </row>
    <row r="81">
      <c r="A81" s="21" t="n">
        <v>2024</v>
      </c>
      <c r="B81" s="17" t="inlineStr">
        <is>
          <t>管理費用</t>
        </is>
      </c>
      <c r="C81" s="18" t="n">
        <v>5201</v>
      </c>
    </row>
    <row r="82">
      <c r="A82" s="21" t="n">
        <v>2020</v>
      </c>
      <c r="B82" s="16" t="inlineStr">
        <is>
          <t>管理费用</t>
        </is>
      </c>
      <c r="C82" s="16" t="n">
        <v>5201</v>
      </c>
    </row>
    <row r="83">
      <c r="A83" s="21" t="n">
        <v>2021</v>
      </c>
      <c r="B83" s="16" t="inlineStr">
        <is>
          <t>管理费用</t>
        </is>
      </c>
      <c r="C83" s="16" t="n">
        <v>5201</v>
      </c>
    </row>
    <row r="84">
      <c r="A84" s="21" t="n">
        <v>2021</v>
      </c>
      <c r="B84" s="16" t="inlineStr">
        <is>
          <t>组委工资</t>
        </is>
      </c>
      <c r="C84" s="16" t="n">
        <v>5601</v>
      </c>
    </row>
    <row r="85">
      <c r="A85" s="21" t="n">
        <v>2022</v>
      </c>
      <c r="B85" s="17" t="inlineStr">
        <is>
          <t>组委工资</t>
        </is>
      </c>
      <c r="C85" s="18" t="n">
        <v>5601</v>
      </c>
    </row>
    <row r="86">
      <c r="A86" s="21" t="n">
        <v>2023</v>
      </c>
      <c r="B86" s="17" t="inlineStr">
        <is>
          <t>组委工资</t>
        </is>
      </c>
      <c r="C86" s="18" t="n">
        <v>5601</v>
      </c>
    </row>
    <row r="87">
      <c r="A87" s="21" t="n">
        <v>2024</v>
      </c>
      <c r="B87" s="17" t="inlineStr">
        <is>
          <t>组委工资</t>
        </is>
      </c>
      <c r="C87" s="18" t="n">
        <v>5601</v>
      </c>
    </row>
    <row r="88">
      <c r="A88" s="21" t="n">
        <v>2022</v>
      </c>
      <c r="B88" s="17" t="inlineStr">
        <is>
          <t>銀行存款</t>
        </is>
      </c>
      <c r="C88" s="18" t="n">
        <v>1002</v>
      </c>
    </row>
    <row r="89">
      <c r="A89" s="21" t="n">
        <v>2023</v>
      </c>
      <c r="B89" s="17" t="inlineStr">
        <is>
          <t>銀行存款</t>
        </is>
      </c>
      <c r="C89" s="18" t="n">
        <v>1002</v>
      </c>
    </row>
    <row r="90">
      <c r="A90" s="21" t="n">
        <v>2024</v>
      </c>
      <c r="B90" s="17" t="inlineStr">
        <is>
          <t>銀行存款</t>
        </is>
      </c>
      <c r="C90" s="18" t="n">
        <v>1002</v>
      </c>
    </row>
    <row r="91">
      <c r="A91" s="21" t="n">
        <v>2020</v>
      </c>
      <c r="B91" s="21" t="inlineStr">
        <is>
          <t>银行存款</t>
        </is>
      </c>
      <c r="C91" s="21" t="n">
        <v>1002</v>
      </c>
    </row>
    <row r="92">
      <c r="A92" s="21" t="n">
        <v>2021</v>
      </c>
      <c r="B92" s="16" t="inlineStr">
        <is>
          <t>银行存款</t>
        </is>
      </c>
      <c r="C92" s="16" t="n">
        <v>1002</v>
      </c>
    </row>
    <row r="93">
      <c r="A93" s="21" t="n">
        <v>2020</v>
      </c>
      <c r="B93" s="16" t="inlineStr">
        <is>
          <t>非限定性净资产</t>
        </is>
      </c>
      <c r="C93" s="16" t="n">
        <v>3101</v>
      </c>
    </row>
    <row r="94">
      <c r="A94" s="21" t="n">
        <v>2021</v>
      </c>
      <c r="B94" s="16" t="inlineStr">
        <is>
          <t>非限定性净资产</t>
        </is>
      </c>
      <c r="C94" s="16" t="n">
        <v>3101</v>
      </c>
    </row>
    <row r="95">
      <c r="A95" s="21" t="n">
        <v>2022</v>
      </c>
      <c r="B95" s="17" t="inlineStr">
        <is>
          <t>非限定性淨資產</t>
        </is>
      </c>
      <c r="C95" s="18" t="n">
        <v>3101</v>
      </c>
    </row>
    <row r="96">
      <c r="A96" s="21" t="n">
        <v>2023</v>
      </c>
      <c r="B96" s="17" t="inlineStr">
        <is>
          <t>非限定性淨資產</t>
        </is>
      </c>
      <c r="C96" s="18" t="n">
        <v>3101</v>
      </c>
    </row>
    <row r="97">
      <c r="A97" s="21" t="n">
        <v>2024</v>
      </c>
      <c r="B97" s="17" t="inlineStr">
        <is>
          <t>非限定性淨資產</t>
        </is>
      </c>
      <c r="C97" s="18" t="n">
        <v>3101</v>
      </c>
    </row>
    <row r="98">
      <c r="A98" s="21" t="n">
        <v>2022</v>
      </c>
      <c r="B98" s="17" t="inlineStr">
        <is>
          <t>預付賬款</t>
        </is>
      </c>
      <c r="C98" s="18" t="n">
        <v>1141</v>
      </c>
    </row>
    <row r="99">
      <c r="A99" s="21" t="n">
        <v>2023</v>
      </c>
      <c r="B99" s="17" t="inlineStr">
        <is>
          <t>預付賬款</t>
        </is>
      </c>
      <c r="C99" s="18" t="n">
        <v>1141</v>
      </c>
    </row>
    <row r="100">
      <c r="A100" s="21" t="n">
        <v>2024</v>
      </c>
      <c r="B100" s="17" t="inlineStr">
        <is>
          <t>預付賬款</t>
        </is>
      </c>
      <c r="C100" s="18" t="n">
        <v>1141</v>
      </c>
    </row>
    <row r="101">
      <c r="A101" s="21" t="n">
        <v>2020</v>
      </c>
      <c r="B101" s="21" t="inlineStr">
        <is>
          <t>预付账款</t>
        </is>
      </c>
      <c r="C101" s="21" t="n">
        <v>1141</v>
      </c>
    </row>
    <row r="102">
      <c r="A102" s="21" t="n">
        <v>2021</v>
      </c>
      <c r="B102" s="16" t="inlineStr">
        <is>
          <t>预付账款</t>
        </is>
      </c>
      <c r="C102" s="16" t="n">
        <v>1141</v>
      </c>
    </row>
    <row r="103">
      <c r="A103" s="21" t="n">
        <v>2020</v>
      </c>
      <c r="B103" s="16" t="inlineStr">
        <is>
          <t>预收账款</t>
        </is>
      </c>
      <c r="C103" s="16" t="n">
        <v>2203</v>
      </c>
    </row>
    <row r="104">
      <c r="A104" s="21" t="n">
        <v>2021</v>
      </c>
      <c r="B104" s="16" t="inlineStr">
        <is>
          <t>预收账款</t>
        </is>
      </c>
      <c r="C104" s="16" t="n">
        <v>2203</v>
      </c>
    </row>
    <row r="105">
      <c r="A105" s="21" t="n"/>
      <c r="B105" s="21" t="n"/>
      <c r="C105" s="21" t="n"/>
    </row>
    <row r="106">
      <c r="A106" s="21" t="n"/>
      <c r="B106" s="21" t="n"/>
      <c r="C106" s="21" t="n"/>
    </row>
  </sheetData>
  <autoFilter ref="$A$2:$C$106">
    <sortState ref="A2:C106">
      <sortCondition ref="B2:B106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692"/>
  <sheetViews>
    <sheetView workbookViewId="0">
      <selection activeCell="A1" sqref="A1"/>
    </sheetView>
  </sheetViews>
  <sheetFormatPr baseColWidth="8" defaultColWidth="12.63" defaultRowHeight="15.75" customHeight="1"/>
  <cols>
    <col width="32.63" customWidth="1" style="27" min="2" max="2"/>
    <col width="24.63" customWidth="1" style="27" min="3" max="3"/>
  </cols>
  <sheetData>
    <row r="1">
      <c r="A1" s="19" t="inlineStr">
        <is>
          <t>OLD</t>
        </is>
      </c>
      <c r="C1" s="21" t="n"/>
      <c r="D1" s="19" t="inlineStr">
        <is>
          <t>NEW</t>
        </is>
      </c>
    </row>
    <row r="2">
      <c r="A2" s="19" t="inlineStr">
        <is>
          <t>year</t>
        </is>
      </c>
      <c r="B2" s="21" t="inlineStr">
        <is>
          <t>摘要</t>
        </is>
      </c>
      <c r="C2" s="21" t="inlineStr">
        <is>
          <t>type</t>
        </is>
      </c>
      <c r="D2" s="21" t="inlineStr">
        <is>
          <t>type</t>
        </is>
      </c>
    </row>
    <row r="3">
      <c r="A3" s="21" t="n">
        <v>2022</v>
      </c>
      <c r="B3" s="22" t="inlineStr">
        <is>
          <t>余利宝-基金赎回，转账到支付宝</t>
        </is>
      </c>
      <c r="C3" s="22" t="inlineStr">
        <is>
          <t>余利宝</t>
        </is>
      </c>
      <c r="D3" s="21">
        <f>VLOOKUP(C3,journal_to_ledger!B:E,4,FALSE)</f>
        <v/>
      </c>
    </row>
    <row r="4">
      <c r="A4" s="21" t="n">
        <v>2022</v>
      </c>
      <c r="B4" s="22" t="inlineStr">
        <is>
          <t>课程押金，感谢参与～</t>
        </is>
      </c>
      <c r="C4" s="22" t="inlineStr">
        <is>
          <t>OL-D</t>
        </is>
      </c>
      <c r="D4" s="21">
        <f>VLOOKUP(C4,journal_to_ledger!B:E,4,FALSE)</f>
        <v/>
      </c>
    </row>
    <row r="5">
      <c r="A5" s="21" t="n">
        <v>2022</v>
      </c>
      <c r="B5" s="22" t="inlineStr">
        <is>
          <t>余利宝自动转入</t>
        </is>
      </c>
      <c r="C5" s="22" t="inlineStr">
        <is>
          <t>余利宝</t>
        </is>
      </c>
      <c r="D5" s="21">
        <f>VLOOKUP(C5,journal_to_ledger!B:E,4,FALSE)</f>
        <v/>
      </c>
    </row>
    <row r="6">
      <c r="A6" s="21" t="n">
        <v>2022</v>
      </c>
      <c r="B6" s="22" t="inlineStr">
        <is>
          <t>唯理教育简报年终幸运读者，感谢支持～</t>
        </is>
      </c>
      <c r="C6" s="22" t="inlineStr">
        <is>
          <t>通讯</t>
        </is>
      </c>
      <c r="D6" s="21">
        <f>VLOOKUP(C6,journal_to_ledger!B:E,4,FALSE)</f>
        <v/>
      </c>
    </row>
    <row r="7">
      <c r="A7" s="21" t="n">
        <v>2022</v>
      </c>
      <c r="B7" s="22" t="inlineStr">
        <is>
          <t>OL30 TA</t>
        </is>
      </c>
      <c r="C7" s="22" t="inlineStr">
        <is>
          <t>工资</t>
        </is>
      </c>
      <c r="D7" s="21">
        <f>VLOOKUP(C7,journal_to_ledger!B:E,4,FALSE)</f>
        <v/>
      </c>
    </row>
    <row r="8">
      <c r="A8" s="21" t="n">
        <v>2022</v>
      </c>
      <c r="B8" s="22" t="inlineStr">
        <is>
          <t>OL30 运营</t>
        </is>
      </c>
      <c r="C8" s="22" t="inlineStr">
        <is>
          <t>工资</t>
        </is>
      </c>
      <c r="D8" s="21">
        <f>VLOOKUP(C8,journal_to_ledger!B:E,4,FALSE)</f>
        <v/>
      </c>
    </row>
    <row r="9">
      <c r="A9" s="21" t="n">
        <v>2022</v>
      </c>
      <c r="B9" s="22" t="inlineStr">
        <is>
          <t>12月月度简报</t>
        </is>
      </c>
      <c r="C9" s="22" t="inlineStr">
        <is>
          <t>工资</t>
        </is>
      </c>
      <c r="D9" s="21">
        <f>VLOOKUP(C9,journal_to_ledger!B:E,4,FALSE)</f>
        <v/>
      </c>
    </row>
    <row r="10">
      <c r="A10" s="21" t="n">
        <v>2022</v>
      </c>
      <c r="B10" s="22" t="inlineStr">
        <is>
          <t>公众号活动报销</t>
        </is>
      </c>
      <c r="C10" s="22" t="inlineStr">
        <is>
          <t>报销</t>
        </is>
      </c>
      <c r="D10" s="21">
        <f>VLOOKUP(C10,journal_to_ledger!B:E,4,FALSE)</f>
        <v/>
      </c>
    </row>
    <row r="11">
      <c r="A11" s="21" t="n">
        <v>2022</v>
      </c>
      <c r="B11" s="22" t="inlineStr">
        <is>
          <t>服务器报销</t>
        </is>
      </c>
      <c r="C11" s="22" t="inlineStr">
        <is>
          <t>/</t>
        </is>
      </c>
      <c r="D11" s="21">
        <f>VLOOKUP(C11,journal_to_ledger!B:E,4,FALSE)</f>
        <v/>
      </c>
    </row>
    <row r="12">
      <c r="A12" s="21" t="n">
        <v>2022</v>
      </c>
      <c r="B12" s="22" t="inlineStr">
        <is>
          <t>报销服务器</t>
        </is>
      </c>
      <c r="C12" s="22" t="inlineStr">
        <is>
          <t>报销</t>
        </is>
      </c>
      <c r="D12" s="21">
        <f>VLOOKUP(C12,journal_to_ledger!B:E,4,FALSE)</f>
        <v/>
      </c>
    </row>
    <row r="13">
      <c r="A13" s="21" t="n">
        <v>2022</v>
      </c>
      <c r="B13" s="22" t="inlineStr">
        <is>
          <t>线上课程TA</t>
        </is>
      </c>
      <c r="C13" s="22" t="inlineStr">
        <is>
          <t>工资</t>
        </is>
      </c>
      <c r="D13" s="21">
        <f>VLOOKUP(C13,journal_to_ledger!B:E,4,FALSE)</f>
        <v/>
      </c>
    </row>
    <row r="14">
      <c r="A14" s="21" t="n">
        <v>2022</v>
      </c>
      <c r="B14" s="22" t="inlineStr">
        <is>
          <t>回顾微信推送</t>
        </is>
      </c>
      <c r="C14" s="22" t="inlineStr">
        <is>
          <t>工资</t>
        </is>
      </c>
      <c r="D14" s="21">
        <f>VLOOKUP(C14,journal_to_ledger!B:E,4,FALSE)</f>
        <v/>
      </c>
    </row>
    <row r="15">
      <c r="A15" s="21" t="n">
        <v>2022</v>
      </c>
      <c r="B15" s="22" t="inlineStr">
        <is>
          <t>ol31运营</t>
        </is>
      </c>
      <c r="C15" s="22" t="inlineStr">
        <is>
          <t>工资</t>
        </is>
      </c>
      <c r="D15" s="21">
        <f>VLOOKUP(C15,journal_to_ledger!B:E,4,FALSE)</f>
        <v/>
      </c>
    </row>
    <row r="16">
      <c r="A16" s="21" t="n">
        <v>2022</v>
      </c>
      <c r="B16" s="22" t="inlineStr">
        <is>
          <t>9/26-12/5教育简报</t>
        </is>
      </c>
      <c r="C16" s="22" t="inlineStr">
        <is>
          <t>工资</t>
        </is>
      </c>
      <c r="D16" s="21">
        <f>VLOOKUP(C16,journal_to_ledger!B:E,4,FALSE)</f>
        <v/>
      </c>
    </row>
    <row r="17">
      <c r="A17" s="21" t="n">
        <v>2022</v>
      </c>
      <c r="B17" s="22" t="inlineStr">
        <is>
          <t>12/5-1/1教育简报</t>
        </is>
      </c>
      <c r="C17" s="22" t="inlineStr">
        <is>
          <t>工资</t>
        </is>
      </c>
      <c r="D17" s="21">
        <f>VLOOKUP(C17,journal_to_ledger!B:E,4,FALSE)</f>
        <v/>
      </c>
    </row>
    <row r="18">
      <c r="A18" s="21" t="n">
        <v>2022</v>
      </c>
      <c r="B18" s="22" t="inlineStr">
        <is>
          <t>10/19-年信教育简报</t>
        </is>
      </c>
      <c r="C18" s="22" t="inlineStr">
        <is>
          <t>工资</t>
        </is>
      </c>
      <c r="D18" s="21">
        <f>VLOOKUP(C18,journal_to_ledger!B:E,4,FALSE)</f>
        <v/>
      </c>
    </row>
    <row r="19">
      <c r="A19" s="21" t="n">
        <v>2022</v>
      </c>
      <c r="B19" s="22" t="inlineStr">
        <is>
          <t>转账</t>
        </is>
      </c>
      <c r="C19" s="22" t="inlineStr">
        <is>
          <t>/</t>
        </is>
      </c>
      <c r="D19" s="21">
        <f>VLOOKUP(C19,journal_to_ledger!B:E,4,FALSE)</f>
        <v/>
      </c>
    </row>
    <row r="20">
      <c r="A20" s="21" t="n">
        <v>2022</v>
      </c>
      <c r="B20" s="22" t="inlineStr">
        <is>
          <t>OL29录像</t>
        </is>
      </c>
      <c r="C20" s="22" t="inlineStr">
        <is>
          <t>OL-N</t>
        </is>
      </c>
      <c r="D20" s="21">
        <f>VLOOKUP(C20,journal_to_ledger!B:E,4,FALSE)</f>
        <v/>
      </c>
    </row>
    <row r="21">
      <c r="A21" s="21" t="n">
        <v>2022</v>
      </c>
      <c r="B21" s="22" t="n"/>
      <c r="C21" s="23" t="inlineStr">
        <is>
          <t>基金收益</t>
        </is>
      </c>
      <c r="D21" s="21">
        <f>VLOOKUP(C21,journal_to_ledger!B:E,4,FALSE)</f>
        <v/>
      </c>
    </row>
    <row r="22">
      <c r="A22" s="21" t="n">
        <v>2022</v>
      </c>
      <c r="B22" s="22" t="n"/>
      <c r="C22" s="23" t="inlineStr">
        <is>
          <t>基金赎回，基金账户转出</t>
        </is>
      </c>
      <c r="D22" s="21">
        <f>VLOOKUP(C22,journal_to_ledger!B:E,4,FALSE)</f>
        <v/>
      </c>
    </row>
    <row r="23">
      <c r="A23" s="21" t="n">
        <v>2022</v>
      </c>
      <c r="B23" s="22" t="n"/>
      <c r="C23" s="23" t="inlineStr">
        <is>
          <t>基金申购，转入基金账户</t>
        </is>
      </c>
      <c r="D23" s="21">
        <f>VLOOKUP(C23,journal_to_ledger!B:E,4,FALSE)</f>
        <v/>
      </c>
    </row>
    <row r="24">
      <c r="A24" s="21" t="n">
        <v>2022</v>
      </c>
      <c r="B24" s="22" t="inlineStr">
        <is>
          <t>/</t>
        </is>
      </c>
      <c r="C24" s="23" t="inlineStr">
        <is>
          <t>赞赏</t>
        </is>
      </c>
      <c r="D24" s="21">
        <f>VLOOKUP(C24,journal_to_ledger!B:E,4,FALSE)</f>
        <v/>
      </c>
    </row>
    <row r="25">
      <c r="A25" s="21" t="n">
        <v>2022</v>
      </c>
      <c r="B25" s="22" t="inlineStr">
        <is>
          <t>商务卡-单位结算卡年费</t>
        </is>
      </c>
      <c r="C25" s="22" t="inlineStr">
        <is>
          <t>运营</t>
        </is>
      </c>
      <c r="D25" s="21">
        <f>VLOOKUP(C25,journal_to_ledger!B:E,4,FALSE)</f>
        <v/>
      </c>
    </row>
    <row r="26">
      <c r="A26" s="21" t="n">
        <v>2022</v>
      </c>
      <c r="B26" s="22" t="inlineStr">
        <is>
          <t>结息</t>
        </is>
      </c>
      <c r="C26" s="22" t="inlineStr">
        <is>
          <t>结息</t>
        </is>
      </c>
      <c r="D26" s="21">
        <f>VLOOKUP(C26,journal_to_ledger!B:E,4,FALSE)</f>
        <v/>
      </c>
    </row>
    <row r="27">
      <c r="A27" s="21" t="n">
        <v>2022</v>
      </c>
      <c r="B27" s="22" t="inlineStr">
        <is>
          <t>OL32 李玉青</t>
        </is>
      </c>
      <c r="C27" s="22" t="inlineStr">
        <is>
          <t>OL</t>
        </is>
      </c>
      <c r="D27" s="21">
        <f>VLOOKUP(C27,journal_to_ledger!B:E,4,FALSE)</f>
        <v/>
      </c>
    </row>
    <row r="28">
      <c r="A28" s="21" t="n">
        <v>2022</v>
      </c>
      <c r="B28" s="22" t="inlineStr">
        <is>
          <t>OL32刘熙宁</t>
        </is>
      </c>
      <c r="C28" s="22" t="inlineStr">
        <is>
          <t>OL</t>
        </is>
      </c>
      <c r="D28" s="21">
        <f>VLOOKUP(C28,journal_to_ledger!B:E,4,FALSE)</f>
        <v/>
      </c>
    </row>
    <row r="29">
      <c r="A29" s="21" t="n">
        <v>2022</v>
      </c>
      <c r="B29" s="22" t="inlineStr">
        <is>
          <t>OL32+陈轩</t>
        </is>
      </c>
      <c r="C29" s="22" t="inlineStr">
        <is>
          <t>OL</t>
        </is>
      </c>
      <c r="D29" s="21">
        <f>VLOOKUP(C29,journal_to_ledger!B:E,4,FALSE)</f>
        <v/>
      </c>
    </row>
    <row r="30">
      <c r="A30" s="21" t="n">
        <v>2022</v>
      </c>
      <c r="B30" s="22" t="inlineStr">
        <is>
          <t>转账</t>
        </is>
      </c>
      <c r="C30" s="22" t="inlineStr">
        <is>
          <t>OL</t>
        </is>
      </c>
      <c r="D30" s="21">
        <f>VLOOKUP(C30,journal_to_ledger!B:E,4,FALSE)</f>
        <v/>
      </c>
    </row>
    <row r="31">
      <c r="A31" s="21" t="n">
        <v>2022</v>
      </c>
      <c r="B31" s="22" t="inlineStr">
        <is>
          <t>OL32 谈鹤</t>
        </is>
      </c>
      <c r="C31" s="22" t="inlineStr">
        <is>
          <t>OL</t>
        </is>
      </c>
      <c r="D31" s="21">
        <f>VLOOKUP(C31,journal_to_ledger!B:E,4,FALSE)</f>
        <v/>
      </c>
    </row>
    <row r="32">
      <c r="A32" s="21" t="n">
        <v>2022</v>
      </c>
      <c r="B32" s="22" t="inlineStr">
        <is>
          <t>OL32朱文正</t>
        </is>
      </c>
      <c r="C32" s="22" t="inlineStr">
        <is>
          <t>OL</t>
        </is>
      </c>
      <c r="D32" s="21">
        <f>VLOOKUP(C32,journal_to_ledger!B:E,4,FALSE)</f>
        <v/>
      </c>
    </row>
    <row r="33">
      <c r="A33" s="21" t="n">
        <v>2022</v>
      </c>
      <c r="B33" s="22" t="inlineStr">
        <is>
          <t>OL32 向翌晨</t>
        </is>
      </c>
      <c r="C33" s="22" t="inlineStr">
        <is>
          <t>OL</t>
        </is>
      </c>
      <c r="D33" s="21">
        <f>VLOOKUP(C33,journal_to_ledger!B:E,4,FALSE)</f>
        <v/>
      </c>
    </row>
    <row r="34">
      <c r="A34" s="21" t="n">
        <v>2022</v>
      </c>
      <c r="B34" s="22" t="inlineStr">
        <is>
          <t>OL32+范荣庆 押金</t>
        </is>
      </c>
      <c r="C34" s="22" t="inlineStr">
        <is>
          <t>OL</t>
        </is>
      </c>
      <c r="D34" s="21">
        <f>VLOOKUP(C34,journal_to_ledger!B:E,4,FALSE)</f>
        <v/>
      </c>
    </row>
    <row r="35">
      <c r="A35" s="21" t="n">
        <v>2022</v>
      </c>
      <c r="B35" s="22" t="inlineStr">
        <is>
          <t>OL32+范荣庆 学费</t>
        </is>
      </c>
      <c r="C35" s="22" t="inlineStr">
        <is>
          <t>OL</t>
        </is>
      </c>
      <c r="D35" s="21">
        <f>VLOOKUP(C35,journal_to_ledger!B:E,4,FALSE)</f>
        <v/>
      </c>
    </row>
    <row r="36">
      <c r="A36" s="21" t="n">
        <v>2022</v>
      </c>
      <c r="B36" s="22" t="inlineStr">
        <is>
          <t>OL32陈映彤</t>
        </is>
      </c>
      <c r="C36" s="22" t="inlineStr">
        <is>
          <t>OL</t>
        </is>
      </c>
      <c r="D36" s="21">
        <f>VLOOKUP(C36,journal_to_ledger!B:E,4,FALSE)</f>
        <v/>
      </c>
    </row>
    <row r="37">
      <c r="A37" s="21" t="n">
        <v>2022</v>
      </c>
      <c r="B37" s="22" t="inlineStr">
        <is>
          <t>OL32 龚滢滢</t>
        </is>
      </c>
      <c r="C37" s="22" t="inlineStr">
        <is>
          <t>OL</t>
        </is>
      </c>
      <c r="D37" s="21">
        <f>VLOOKUP(C37,journal_to_ledger!B:E,4,FALSE)</f>
        <v/>
      </c>
    </row>
    <row r="38">
      <c r="A38" s="21" t="n">
        <v>2022</v>
      </c>
      <c r="B38" s="22" t="inlineStr">
        <is>
          <t>OL32文柠</t>
        </is>
      </c>
      <c r="C38" s="22" t="inlineStr">
        <is>
          <t>OL</t>
        </is>
      </c>
      <c r="D38" s="21">
        <f>VLOOKUP(C38,journal_to_ledger!B:E,4,FALSE)</f>
        <v/>
      </c>
    </row>
    <row r="39">
      <c r="A39" s="21" t="n">
        <v>2022</v>
      </c>
      <c r="B39" s="22" t="inlineStr">
        <is>
          <t>OL32陈则熹</t>
        </is>
      </c>
      <c r="C39" s="22" t="inlineStr">
        <is>
          <t>OL</t>
        </is>
      </c>
      <c r="D39" s="21">
        <f>VLOOKUP(C39,journal_to_ledger!B:E,4,FALSE)</f>
        <v/>
      </c>
    </row>
    <row r="40">
      <c r="A40" s="21" t="n">
        <v>2022</v>
      </c>
      <c r="B40" s="22" t="inlineStr">
        <is>
          <t>OL32+童思源</t>
        </is>
      </c>
      <c r="C40" s="22" t="inlineStr">
        <is>
          <t>OL</t>
        </is>
      </c>
      <c r="D40" s="21">
        <f>VLOOKUP(C40,journal_to_ledger!B:E,4,FALSE)</f>
        <v/>
      </c>
    </row>
    <row r="41">
      <c r="A41" s="21" t="n">
        <v>2022</v>
      </c>
      <c r="B41" s="22" t="inlineStr">
        <is>
          <t>OL32 叶昊南</t>
        </is>
      </c>
      <c r="C41" s="22" t="inlineStr">
        <is>
          <t>OL</t>
        </is>
      </c>
      <c r="D41" s="21">
        <f>VLOOKUP(C41,journal_to_ledger!B:E,4,FALSE)</f>
        <v/>
      </c>
    </row>
    <row r="42">
      <c r="A42" s="21" t="n">
        <v>2022</v>
      </c>
      <c r="B42" s="22" t="inlineStr">
        <is>
          <t>OL32+王献钦</t>
        </is>
      </c>
      <c r="C42" s="22" t="inlineStr">
        <is>
          <t>OL</t>
        </is>
      </c>
      <c r="D42" s="21">
        <f>VLOOKUP(C42,journal_to_ledger!B:E,4,FALSE)</f>
        <v/>
      </c>
    </row>
    <row r="43">
      <c r="A43" s="21" t="n">
        <v>2022</v>
      </c>
      <c r="B43" s="22" t="inlineStr">
        <is>
          <t>OL32 何楚宁</t>
        </is>
      </c>
      <c r="C43" s="22" t="inlineStr">
        <is>
          <t>OL</t>
        </is>
      </c>
      <c r="D43" s="21">
        <f>VLOOKUP(C43,journal_to_ledger!B:E,4,FALSE)</f>
        <v/>
      </c>
    </row>
    <row r="44">
      <c r="A44" s="21" t="n">
        <v>2022</v>
      </c>
      <c r="B44" s="22" t="inlineStr">
        <is>
          <t>OL32 王雪雯</t>
        </is>
      </c>
      <c r="C44" s="22" t="inlineStr">
        <is>
          <t>OL</t>
        </is>
      </c>
      <c r="D44" s="21">
        <f>VLOOKUP(C44,journal_to_ledger!B:E,4,FALSE)</f>
        <v/>
      </c>
    </row>
    <row r="45">
      <c r="A45" s="21" t="n">
        <v>2022</v>
      </c>
      <c r="B45" s="22" t="inlineStr">
        <is>
          <t>OL32郑欣怡</t>
        </is>
      </c>
      <c r="C45" s="22" t="inlineStr">
        <is>
          <t>OL</t>
        </is>
      </c>
      <c r="D45" s="21">
        <f>VLOOKUP(C45,journal_to_ledger!B:E,4,FALSE)</f>
        <v/>
      </c>
    </row>
    <row r="46">
      <c r="A46" s="21" t="n">
        <v>2022</v>
      </c>
      <c r="B46" s="22" t="inlineStr">
        <is>
          <t>4.10 OL32：社会学基础（徐原）</t>
        </is>
      </c>
      <c r="C46" s="22" t="inlineStr">
        <is>
          <t>OL</t>
        </is>
      </c>
      <c r="D46" s="21">
        <f>VLOOKUP(C46,journal_to_ledger!B:E,4,FALSE)</f>
        <v/>
      </c>
    </row>
    <row r="47">
      <c r="A47" s="21" t="n">
        <v>2022</v>
      </c>
      <c r="B47" s="22" t="inlineStr">
        <is>
          <t>OL32 程露玄</t>
        </is>
      </c>
      <c r="C47" s="22" t="inlineStr">
        <is>
          <t>OL</t>
        </is>
      </c>
      <c r="D47" s="21">
        <f>VLOOKUP(C47,journal_to_ledger!B:E,4,FALSE)</f>
        <v/>
      </c>
    </row>
    <row r="48">
      <c r="A48" s="21" t="n">
        <v>2022</v>
      </c>
      <c r="B48" s="22" t="inlineStr">
        <is>
          <t>报销域名续费</t>
        </is>
      </c>
      <c r="C48" s="22" t="inlineStr">
        <is>
          <t>运营</t>
        </is>
      </c>
      <c r="D48" s="21">
        <f>VLOOKUP(C48,journal_to_ledger!B:E,4,FALSE)</f>
        <v/>
      </c>
    </row>
    <row r="49">
      <c r="A49" s="21" t="n">
        <v>2022</v>
      </c>
      <c r="B49" s="22" t="inlineStr">
        <is>
          <t>微博报销</t>
        </is>
      </c>
      <c r="C49" s="22" t="inlineStr">
        <is>
          <t>运营</t>
        </is>
      </c>
      <c r="D49" s="21">
        <f>VLOOKUP(C49,journal_to_ledger!B:E,4,FALSE)</f>
        <v/>
      </c>
    </row>
    <row r="50">
      <c r="A50" s="21" t="n">
        <v>2022</v>
      </c>
      <c r="B50" s="22" t="inlineStr">
        <is>
          <t>转账</t>
        </is>
      </c>
      <c r="C50" s="24" t="inlineStr">
        <is>
          <t>捐赠？</t>
        </is>
      </c>
      <c r="D50" s="21">
        <f>VLOOKUP(C50,journal_to_ledger!B:E,4,FALSE)</f>
        <v/>
      </c>
    </row>
    <row r="51">
      <c r="A51" s="21" t="n">
        <v>2022</v>
      </c>
      <c r="B51" s="22" t="inlineStr">
        <is>
          <t>2022.02月度简报</t>
        </is>
      </c>
      <c r="C51" s="22" t="inlineStr">
        <is>
          <t>工资</t>
        </is>
      </c>
      <c r="D51" s="21">
        <f>VLOOKUP(C51,journal_to_ledger!B:E,4,FALSE)</f>
        <v/>
      </c>
    </row>
    <row r="52">
      <c r="A52" s="21" t="n">
        <v>2022</v>
      </c>
      <c r="B52" s="22" t="inlineStr">
        <is>
          <t>组委申请处理</t>
        </is>
      </c>
      <c r="C52" s="22" t="inlineStr">
        <is>
          <t>工资</t>
        </is>
      </c>
      <c r="D52" s="21">
        <f>VLOOKUP(C52,journal_to_ledger!B:E,4,FALSE)</f>
        <v/>
      </c>
    </row>
    <row r="53">
      <c r="A53" s="21" t="n">
        <v>2022</v>
      </c>
      <c r="B53" s="22" t="inlineStr">
        <is>
          <t>讲师试讲</t>
        </is>
      </c>
      <c r="C53" s="22" t="inlineStr">
        <is>
          <t>工资</t>
        </is>
      </c>
      <c r="D53" s="21">
        <f>VLOOKUP(C53,journal_to_ledger!B:E,4,FALSE)</f>
        <v/>
      </c>
    </row>
    <row r="54">
      <c r="A54" s="21" t="n">
        <v>2022</v>
      </c>
      <c r="B54" s="22" t="inlineStr">
        <is>
          <t>社群运营+组委招新</t>
        </is>
      </c>
      <c r="C54" s="22" t="inlineStr">
        <is>
          <t>工资</t>
        </is>
      </c>
      <c r="D54" s="21">
        <f>VLOOKUP(C54,journal_to_ledger!B:E,4,FALSE)</f>
        <v/>
      </c>
    </row>
    <row r="55">
      <c r="A55" s="21" t="n">
        <v>2022</v>
      </c>
      <c r="B55" s="22" t="inlineStr">
        <is>
          <t>1-3月讲师试讲</t>
        </is>
      </c>
      <c r="C55" s="22" t="inlineStr">
        <is>
          <t>工资</t>
        </is>
      </c>
      <c r="D55" s="21">
        <f>VLOOKUP(C55,journal_to_ledger!B:E,4,FALSE)</f>
        <v/>
      </c>
    </row>
    <row r="56">
      <c r="A56" s="21" t="n">
        <v>2022</v>
      </c>
      <c r="B56" s="22" t="inlineStr">
        <is>
          <t>第三季第一期播客</t>
        </is>
      </c>
      <c r="C56" s="22" t="inlineStr">
        <is>
          <t>工资</t>
        </is>
      </c>
      <c r="D56" s="21">
        <f>VLOOKUP(C56,journal_to_ledger!B:E,4,FALSE)</f>
        <v/>
      </c>
    </row>
    <row r="57">
      <c r="A57" s="21" t="n">
        <v>2022</v>
      </c>
      <c r="B57" s="22" t="inlineStr">
        <is>
          <t>第三季第一期</t>
        </is>
      </c>
      <c r="C57" s="22" t="inlineStr">
        <is>
          <t>工资</t>
        </is>
      </c>
      <c r="D57" s="21">
        <f>VLOOKUP(C57,journal_to_ledger!B:E,4,FALSE)</f>
        <v/>
      </c>
    </row>
    <row r="58">
      <c r="A58" s="21" t="n">
        <v>2022</v>
      </c>
      <c r="B58" s="22" t="inlineStr">
        <is>
          <t>组织运营+讲师试讲</t>
        </is>
      </c>
      <c r="C58" s="22" t="inlineStr">
        <is>
          <t>工资</t>
        </is>
      </c>
      <c r="D58" s="21">
        <f>VLOOKUP(C58,journal_to_ledger!B:E,4,FALSE)</f>
        <v/>
      </c>
    </row>
    <row r="59">
      <c r="A59" s="21" t="n">
        <v>2022</v>
      </c>
      <c r="B59" s="22" t="inlineStr">
        <is>
          <t>老工资申报表</t>
        </is>
      </c>
      <c r="C59" s="22" t="inlineStr">
        <is>
          <t>工资</t>
        </is>
      </c>
      <c r="D59" s="21">
        <f>VLOOKUP(C59,journal_to_ledger!B:E,4,FALSE)</f>
        <v/>
      </c>
    </row>
    <row r="60">
      <c r="A60" s="21" t="n">
        <v>2022</v>
      </c>
      <c r="B60" s="22" t="inlineStr">
        <is>
          <t>对谈第三季第一集</t>
        </is>
      </c>
      <c r="C60" s="22" t="inlineStr">
        <is>
          <t>工资</t>
        </is>
      </c>
      <c r="D60" s="21">
        <f>VLOOKUP(C60,journal_to_ledger!B:E,4,FALSE)</f>
        <v/>
      </c>
    </row>
    <row r="61">
      <c r="A61" s="21" t="n">
        <v>2022</v>
      </c>
      <c r="B61" s="22" t="inlineStr">
        <is>
          <t>组委招新</t>
        </is>
      </c>
      <c r="C61" s="22" t="inlineStr">
        <is>
          <t>工资</t>
        </is>
      </c>
      <c r="D61" s="21">
        <f>VLOOKUP(C61,journal_to_ledger!B:E,4,FALSE)</f>
        <v/>
      </c>
    </row>
    <row r="62">
      <c r="A62" s="21" t="n">
        <v>2022</v>
      </c>
      <c r="B62" s="22" t="inlineStr">
        <is>
          <t>线上课程负责人</t>
        </is>
      </c>
      <c r="C62" s="22" t="inlineStr">
        <is>
          <t>工资</t>
        </is>
      </c>
      <c r="D62" s="21">
        <f>VLOOKUP(C62,journal_to_ledger!B:E,4,FALSE)</f>
        <v/>
      </c>
    </row>
    <row r="63">
      <c r="A63" s="21" t="n">
        <v>2022</v>
      </c>
      <c r="B63" s="22" t="inlineStr">
        <is>
          <t>2022.4月以前的工资</t>
        </is>
      </c>
      <c r="C63" s="22" t="inlineStr">
        <is>
          <t>工资</t>
        </is>
      </c>
      <c r="D63" s="21">
        <f>VLOOKUP(C63,journal_to_ledger!B:E,4,FALSE)</f>
        <v/>
      </c>
    </row>
    <row r="64">
      <c r="A64" s="21" t="n">
        <v>2022</v>
      </c>
      <c r="B64" s="22" t="inlineStr">
        <is>
          <t>4月已审核工资</t>
        </is>
      </c>
      <c r="C64" s="22" t="inlineStr">
        <is>
          <t>工资</t>
        </is>
      </c>
      <c r="D64" s="21">
        <f>VLOOKUP(C64,journal_to_ledger!B:E,4,FALSE)</f>
        <v/>
      </c>
    </row>
    <row r="65">
      <c r="A65" s="21" t="n">
        <v>2022</v>
      </c>
      <c r="B65" s="22" t="inlineStr">
        <is>
          <t>4月工资</t>
        </is>
      </c>
      <c r="C65" s="22" t="inlineStr">
        <is>
          <t>工资</t>
        </is>
      </c>
      <c r="D65" s="21">
        <f>VLOOKUP(C65,journal_to_ledger!B:E,4,FALSE)</f>
        <v/>
      </c>
    </row>
    <row r="66">
      <c r="A66" s="21" t="n">
        <v>2022</v>
      </c>
      <c r="B66" s="22" t="inlineStr">
        <is>
          <t>4月余下已审核工资</t>
        </is>
      </c>
      <c r="C66" s="22" t="inlineStr">
        <is>
          <t>工资</t>
        </is>
      </c>
      <c r="D66" s="21">
        <f>VLOOKUP(C66,journal_to_ledger!B:E,4,FALSE)</f>
        <v/>
      </c>
    </row>
    <row r="67">
      <c r="A67" s="21" t="n">
        <v>2022</v>
      </c>
      <c r="B67" s="22" t="inlineStr">
        <is>
          <t>4月余下工资</t>
        </is>
      </c>
      <c r="C67" s="22" t="inlineStr">
        <is>
          <t>工资</t>
        </is>
      </c>
      <c r="D67" s="21">
        <f>VLOOKUP(C67,journal_to_ledger!B:E,4,FALSE)</f>
        <v/>
      </c>
    </row>
    <row r="68">
      <c r="A68" s="21" t="n">
        <v>2022</v>
      </c>
      <c r="B68" s="22" t="inlineStr">
        <is>
          <t>Transfer</t>
        </is>
      </c>
      <c r="C68" s="22" t="inlineStr">
        <is>
          <t>OL</t>
        </is>
      </c>
      <c r="D68" s="21">
        <f>VLOOKUP(C68,journal_to_ledger!B:E,4,FALSE)</f>
        <v/>
      </c>
    </row>
    <row r="69">
      <c r="A69" s="21" t="n">
        <v>2022</v>
      </c>
      <c r="B69" s="22" t="inlineStr">
        <is>
          <t>OL33 王禹琳</t>
        </is>
      </c>
      <c r="C69" s="22" t="inlineStr">
        <is>
          <t>OL</t>
        </is>
      </c>
      <c r="D69" s="21">
        <f>VLOOKUP(C69,journal_to_ledger!B:E,4,FALSE)</f>
        <v/>
      </c>
    </row>
    <row r="70">
      <c r="A70" s="21" t="n">
        <v>2022</v>
      </c>
      <c r="B70" s="22" t="inlineStr">
        <is>
          <t>OL33+程佳慧</t>
        </is>
      </c>
      <c r="C70" s="22" t="inlineStr">
        <is>
          <t>OL</t>
        </is>
      </c>
      <c r="D70" s="21">
        <f>VLOOKUP(C70,journal_to_ledger!B:E,4,FALSE)</f>
        <v/>
      </c>
    </row>
    <row r="71">
      <c r="A71" s="21" t="n">
        <v>2022</v>
      </c>
      <c r="B71" s="22" t="inlineStr">
        <is>
          <t>OL33+万依</t>
        </is>
      </c>
      <c r="C71" s="22" t="inlineStr">
        <is>
          <t>OL</t>
        </is>
      </c>
      <c r="D71" s="21">
        <f>VLOOKUP(C71,journal_to_ledger!B:E,4,FALSE)</f>
        <v/>
      </c>
    </row>
    <row r="72">
      <c r="A72" s="21" t="n">
        <v>2022</v>
      </c>
      <c r="B72" s="22" t="inlineStr">
        <is>
          <t>OL33 谢承宇</t>
        </is>
      </c>
      <c r="C72" s="22" t="inlineStr">
        <is>
          <t>OL</t>
        </is>
      </c>
      <c r="D72" s="21">
        <f>VLOOKUP(C72,journal_to_ledger!B:E,4,FALSE)</f>
        <v/>
      </c>
    </row>
    <row r="73">
      <c r="A73" s="21" t="n">
        <v>2022</v>
      </c>
      <c r="B73" s="22" t="inlineStr">
        <is>
          <t>OL34 邢奕萱</t>
        </is>
      </c>
      <c r="C73" s="22" t="inlineStr">
        <is>
          <t>OL</t>
        </is>
      </c>
      <c r="D73" s="21">
        <f>VLOOKUP(C73,journal_to_ledger!B:E,4,FALSE)</f>
        <v/>
      </c>
    </row>
    <row r="74">
      <c r="A74" s="21" t="n">
        <v>2022</v>
      </c>
      <c r="B74" s="22" t="inlineStr">
        <is>
          <t>OL34温柔</t>
        </is>
      </c>
      <c r="C74" s="22" t="inlineStr">
        <is>
          <t>OL</t>
        </is>
      </c>
      <c r="D74" s="21">
        <f>VLOOKUP(C74,journal_to_ledger!B:E,4,FALSE)</f>
        <v/>
      </c>
    </row>
    <row r="75">
      <c r="A75" s="21" t="n">
        <v>2022</v>
      </c>
      <c r="B75" s="22" t="inlineStr">
        <is>
          <t>OL33李尤</t>
        </is>
      </c>
      <c r="C75" s="22" t="inlineStr">
        <is>
          <t>OL</t>
        </is>
      </c>
      <c r="D75" s="21">
        <f>VLOOKUP(C75,journal_to_ledger!B:E,4,FALSE)</f>
        <v/>
      </c>
    </row>
    <row r="76">
      <c r="A76" s="21" t="n">
        <v>2022</v>
      </c>
      <c r="B76" s="22" t="inlineStr">
        <is>
          <t>OL34+程佳慧</t>
        </is>
      </c>
      <c r="C76" s="22" t="inlineStr">
        <is>
          <t>OL</t>
        </is>
      </c>
      <c r="D76" s="21">
        <f>VLOOKUP(C76,journal_to_ledger!B:E,4,FALSE)</f>
        <v/>
      </c>
    </row>
    <row r="77">
      <c r="A77" s="21" t="n">
        <v>2022</v>
      </c>
      <c r="B77" s="22" t="inlineStr">
        <is>
          <t>OL34+李雨茗</t>
        </is>
      </c>
      <c r="C77" s="22" t="inlineStr">
        <is>
          <t>OL</t>
        </is>
      </c>
      <c r="D77" s="21">
        <f>VLOOKUP(C77,journal_to_ledger!B:E,4,FALSE)</f>
        <v/>
      </c>
    </row>
    <row r="78">
      <c r="A78" s="21" t="n">
        <v>2022</v>
      </c>
      <c r="B78" s="22" t="inlineStr">
        <is>
          <t>OL33+余新月</t>
        </is>
      </c>
      <c r="C78" s="22" t="inlineStr">
        <is>
          <t>OL</t>
        </is>
      </c>
      <c r="D78" s="21">
        <f>VLOOKUP(C78,journal_to_ledger!B:E,4,FALSE)</f>
        <v/>
      </c>
    </row>
    <row r="79">
      <c r="A79" s="21" t="n">
        <v>2022</v>
      </c>
      <c r="B79" s="22" t="inlineStr">
        <is>
          <t>OL34课程费用（王浩宇）</t>
        </is>
      </c>
      <c r="C79" s="22" t="inlineStr">
        <is>
          <t>OL</t>
        </is>
      </c>
      <c r="D79" s="21">
        <f>VLOOKUP(C79,journal_to_ledger!B:E,4,FALSE)</f>
        <v/>
      </c>
    </row>
    <row r="80">
      <c r="A80" s="21" t="n">
        <v>2022</v>
      </c>
      <c r="B80" s="22" t="inlineStr">
        <is>
          <t>OL33＋张麟</t>
        </is>
      </c>
      <c r="C80" s="22" t="inlineStr">
        <is>
          <t>OL</t>
        </is>
      </c>
      <c r="D80" s="21">
        <f>VLOOKUP(C80,journal_to_ledger!B:E,4,FALSE)</f>
        <v/>
      </c>
    </row>
    <row r="81">
      <c r="A81" s="21" t="n">
        <v>2022</v>
      </c>
      <c r="B81" s="22" t="inlineStr">
        <is>
          <t>OL33 余添</t>
        </is>
      </c>
      <c r="C81" s="22" t="inlineStr">
        <is>
          <t>OL</t>
        </is>
      </c>
      <c r="D81" s="21">
        <f>VLOOKUP(C81,journal_to_ledger!B:E,4,FALSE)</f>
        <v/>
      </c>
    </row>
    <row r="82">
      <c r="A82" s="21" t="n">
        <v>2022</v>
      </c>
      <c r="B82" s="22" t="inlineStr">
        <is>
          <t>OL33+张琬祺</t>
        </is>
      </c>
      <c r="C82" s="22" t="inlineStr">
        <is>
          <t>OL</t>
        </is>
      </c>
      <c r="D82" s="21">
        <f>VLOOKUP(C82,journal_to_ledger!B:E,4,FALSE)</f>
        <v/>
      </c>
    </row>
    <row r="83">
      <c r="A83" s="21" t="n">
        <v>2022</v>
      </c>
      <c r="B83" s="22" t="inlineStr">
        <is>
          <t>OL33 黄婧璇</t>
        </is>
      </c>
      <c r="C83" s="22" t="inlineStr">
        <is>
          <t>OL</t>
        </is>
      </c>
      <c r="D83" s="21">
        <f>VLOOKUP(C83,journal_to_ledger!B:E,4,FALSE)</f>
        <v/>
      </c>
    </row>
    <row r="84">
      <c r="A84" s="21" t="n">
        <v>2022</v>
      </c>
      <c r="B84" s="22" t="inlineStr">
        <is>
          <t>OL34 李可悦</t>
        </is>
      </c>
      <c r="C84" s="22" t="inlineStr">
        <is>
          <t>OL</t>
        </is>
      </c>
      <c r="D84" s="21">
        <f>VLOOKUP(C84,journal_to_ledger!B:E,4,FALSE)</f>
        <v/>
      </c>
    </row>
    <row r="85">
      <c r="A85" s="21" t="n">
        <v>2022</v>
      </c>
      <c r="B85" s="22" t="inlineStr">
        <is>
          <t>OL33-Rosa Zheng</t>
        </is>
      </c>
      <c r="C85" s="22" t="inlineStr">
        <is>
          <t>OL</t>
        </is>
      </c>
      <c r="D85" s="21">
        <f>VLOOKUP(C85,journal_to_ledger!B:E,4,FALSE)</f>
        <v/>
      </c>
    </row>
    <row r="86">
      <c r="A86" s="21" t="n">
        <v>2022</v>
      </c>
      <c r="B86" s="22" t="inlineStr">
        <is>
          <t>OL33+缪言</t>
        </is>
      </c>
      <c r="C86" s="22" t="inlineStr">
        <is>
          <t>OL</t>
        </is>
      </c>
      <c r="D86" s="21">
        <f>VLOOKUP(C86,journal_to_ledger!B:E,4,FALSE)</f>
        <v/>
      </c>
    </row>
    <row r="87">
      <c r="A87" s="21" t="n">
        <v>2022</v>
      </c>
      <c r="B87" s="22" t="inlineStr">
        <is>
          <t>OL34+林若华</t>
        </is>
      </c>
      <c r="C87" s="22" t="inlineStr">
        <is>
          <t>OL</t>
        </is>
      </c>
      <c r="D87" s="21">
        <f>VLOOKUP(C87,journal_to_ledger!B:E,4,FALSE)</f>
        <v/>
      </c>
    </row>
    <row r="88">
      <c r="A88" s="21" t="n">
        <v>2022</v>
      </c>
      <c r="B88" s="22" t="inlineStr">
        <is>
          <t>OL33+单高雪儿</t>
        </is>
      </c>
      <c r="C88" s="22" t="inlineStr">
        <is>
          <t>OL</t>
        </is>
      </c>
      <c r="D88" s="21">
        <f>VLOOKUP(C88,journal_to_ledger!B:E,4,FALSE)</f>
        <v/>
      </c>
    </row>
    <row r="89">
      <c r="A89" s="21" t="n">
        <v>2022</v>
      </c>
      <c r="B89" s="22" t="inlineStr">
        <is>
          <t>赖欣典 ol33</t>
        </is>
      </c>
      <c r="C89" s="22" t="inlineStr">
        <is>
          <t>OL</t>
        </is>
      </c>
      <c r="D89" s="21">
        <f>VLOOKUP(C89,journal_to_ledger!B:E,4,FALSE)</f>
        <v/>
      </c>
    </row>
    <row r="90">
      <c r="A90" s="21" t="n">
        <v>2022</v>
      </c>
      <c r="B90" s="22" t="inlineStr">
        <is>
          <t>OL34-董珊杉</t>
        </is>
      </c>
      <c r="C90" s="22" t="inlineStr">
        <is>
          <t>OL</t>
        </is>
      </c>
      <c r="D90" s="21">
        <f>VLOOKUP(C90,journal_to_ledger!B:E,4,FALSE)</f>
        <v/>
      </c>
    </row>
    <row r="91">
      <c r="A91" s="21" t="n">
        <v>2022</v>
      </c>
      <c r="B91" s="22" t="inlineStr">
        <is>
          <t>OL34 邱镜舟</t>
        </is>
      </c>
      <c r="C91" s="22" t="inlineStr">
        <is>
          <t>OL</t>
        </is>
      </c>
      <c r="D91" s="21">
        <f>VLOOKUP(C91,journal_to_ledger!B:E,4,FALSE)</f>
        <v/>
      </c>
    </row>
    <row r="92">
      <c r="A92" s="21" t="n">
        <v>2022</v>
      </c>
      <c r="B92" s="22" t="inlineStr">
        <is>
          <t>OL34+金昊堉</t>
        </is>
      </c>
      <c r="C92" s="22" t="inlineStr">
        <is>
          <t>OL</t>
        </is>
      </c>
      <c r="D92" s="21">
        <f>VLOOKUP(C92,journal_to_ledger!B:E,4,FALSE)</f>
        <v/>
      </c>
    </row>
    <row r="93">
      <c r="A93" s="21" t="n">
        <v>2022</v>
      </c>
      <c r="B93" s="22" t="inlineStr">
        <is>
          <t>Transfer</t>
        </is>
      </c>
      <c r="C93" s="22" t="inlineStr">
        <is>
          <t>工资</t>
        </is>
      </c>
      <c r="D93" s="21">
        <f>VLOOKUP(C93,journal_to_ledger!B:E,4,FALSE)</f>
        <v/>
      </c>
    </row>
    <row r="94">
      <c r="A94" s="21" t="n">
        <v>2022</v>
      </c>
      <c r="B94" s="22" t="inlineStr">
        <is>
          <t>5月工资</t>
        </is>
      </c>
      <c r="C94" s="22" t="inlineStr">
        <is>
          <t>工资</t>
        </is>
      </c>
      <c r="D94" s="21">
        <f>VLOOKUP(C94,journal_to_ledger!B:E,4,FALSE)</f>
        <v/>
      </c>
    </row>
    <row r="95">
      <c r="A95" s="21" t="n">
        <v>2022</v>
      </c>
      <c r="B95" s="22" t="inlineStr">
        <is>
          <t>5月及之前工资</t>
        </is>
      </c>
      <c r="C95" s="22" t="inlineStr">
        <is>
          <t>工资</t>
        </is>
      </c>
      <c r="D95" s="21">
        <f>VLOOKUP(C95,journal_to_ledger!B:E,4,FALSE)</f>
        <v/>
      </c>
    </row>
    <row r="96">
      <c r="A96" s="21" t="n">
        <v>2022</v>
      </c>
      <c r="B96" s="22" t="inlineStr">
        <is>
          <t>OL35 袁愉嫣</t>
        </is>
      </c>
      <c r="C96" s="22" t="inlineStr">
        <is>
          <t>OL</t>
        </is>
      </c>
      <c r="D96" s="21">
        <f>VLOOKUP(C96,journal_to_ledger!B:E,4,FALSE)</f>
        <v/>
      </c>
    </row>
    <row r="97">
      <c r="A97" s="21" t="n">
        <v>2022</v>
      </c>
      <c r="B97" s="22" t="inlineStr">
        <is>
          <t>OL35 赵伊纯</t>
        </is>
      </c>
      <c r="C97" s="22" t="inlineStr">
        <is>
          <t>OL</t>
        </is>
      </c>
      <c r="D97" s="21">
        <f>VLOOKUP(C97,journal_to_ledger!B:E,4,FALSE)</f>
        <v/>
      </c>
    </row>
    <row r="98">
      <c r="A98" s="21" t="n">
        <v>2022</v>
      </c>
      <c r="B98" s="22" t="inlineStr">
        <is>
          <t>OL35 蔡家祺</t>
        </is>
      </c>
      <c r="C98" s="22" t="inlineStr">
        <is>
          <t>OL</t>
        </is>
      </c>
      <c r="D98" s="21">
        <f>VLOOKUP(C98,journal_to_ledger!B:E,4,FALSE)</f>
        <v/>
      </c>
    </row>
    <row r="99">
      <c r="A99" s="21" t="n">
        <v>2022</v>
      </c>
      <c r="B99" s="22" t="inlineStr">
        <is>
          <t>OL35高铭</t>
        </is>
      </c>
      <c r="C99" s="22" t="inlineStr">
        <is>
          <t>OL</t>
        </is>
      </c>
      <c r="D99" s="21">
        <f>VLOOKUP(C99,journal_to_ledger!B:E,4,FALSE)</f>
        <v/>
      </c>
    </row>
    <row r="100">
      <c r="A100" s="21" t="n">
        <v>2022</v>
      </c>
      <c r="B100" s="22" t="inlineStr">
        <is>
          <t>庄思行 华附国际</t>
        </is>
      </c>
      <c r="C100" s="22" t="inlineStr">
        <is>
          <t>书院</t>
        </is>
      </c>
      <c r="D100" s="21">
        <f>VLOOKUP(C100,journal_to_ledger!B:E,4,FALSE)</f>
        <v/>
      </c>
    </row>
    <row r="101">
      <c r="A101" s="21" t="n">
        <v>2022</v>
      </c>
      <c r="B101" s="22" t="inlineStr">
        <is>
          <t>OL33丁之悦</t>
        </is>
      </c>
      <c r="C101" s="22" t="inlineStr">
        <is>
          <t>OL</t>
        </is>
      </c>
      <c r="D101" s="21">
        <f>VLOOKUP(C101,journal_to_ledger!B:E,4,FALSE)</f>
        <v/>
      </c>
    </row>
    <row r="102">
      <c r="A102" s="21" t="n">
        <v>2022</v>
      </c>
      <c r="B102" s="22" t="inlineStr">
        <is>
          <t>OL35 王佳滢</t>
        </is>
      </c>
      <c r="C102" s="22" t="inlineStr">
        <is>
          <t>OL</t>
        </is>
      </c>
      <c r="D102" s="21">
        <f>VLOOKUP(C102,journal_to_ledger!B:E,4,FALSE)</f>
        <v/>
      </c>
    </row>
    <row r="103">
      <c r="A103" s="21" t="n">
        <v>2022</v>
      </c>
      <c r="B103" s="22" t="inlineStr">
        <is>
          <t>李缙 Harvard University</t>
        </is>
      </c>
      <c r="C103" s="22" t="inlineStr">
        <is>
          <t>书院</t>
        </is>
      </c>
      <c r="D103" s="21">
        <f>VLOOKUP(C103,journal_to_ledger!B:E,4,FALSE)</f>
        <v/>
      </c>
    </row>
    <row r="104">
      <c r="A104" s="21" t="n">
        <v>2022</v>
      </c>
      <c r="B104" s="22" t="inlineStr">
        <is>
          <t>OL35 龚滢滢</t>
        </is>
      </c>
      <c r="C104" s="22" t="inlineStr">
        <is>
          <t>OL</t>
        </is>
      </c>
      <c r="D104" s="21">
        <f>VLOOKUP(C104,journal_to_ledger!B:E,4,FALSE)</f>
        <v/>
      </c>
    </row>
    <row r="105">
      <c r="A105" s="21" t="n">
        <v>2022</v>
      </c>
      <c r="B105" s="22" t="inlineStr">
        <is>
          <t>ol33退款</t>
        </is>
      </c>
      <c r="C105" s="22" t="inlineStr">
        <is>
          <t>OL</t>
        </is>
      </c>
      <c r="D105" s="21">
        <f>VLOOKUP(C105,journal_to_ledger!B:E,4,FALSE)</f>
        <v/>
      </c>
    </row>
    <row r="106">
      <c r="A106" s="21" t="n">
        <v>2022</v>
      </c>
      <c r="B106" s="22" t="inlineStr">
        <is>
          <t>ol34退款</t>
        </is>
      </c>
      <c r="C106" s="22" t="inlineStr">
        <is>
          <t>OL</t>
        </is>
      </c>
      <c r="D106" s="21">
        <f>VLOOKUP(C106,journal_to_ledger!B:E,4,FALSE)</f>
        <v/>
      </c>
    </row>
    <row r="107">
      <c r="A107" s="21" t="n">
        <v>2022</v>
      </c>
      <c r="B107" s="22" t="inlineStr">
        <is>
          <t>OL35 丁一鸣</t>
        </is>
      </c>
      <c r="C107" s="22" t="inlineStr">
        <is>
          <t>OL</t>
        </is>
      </c>
      <c r="D107" s="21">
        <f>VLOOKUP(C107,journal_to_ledger!B:E,4,FALSE)</f>
        <v/>
      </c>
    </row>
    <row r="108">
      <c r="A108" s="21" t="n">
        <v>2022</v>
      </c>
      <c r="B108" s="22" t="inlineStr">
        <is>
          <t>OL35 薛友酉</t>
        </is>
      </c>
      <c r="C108" s="22" t="inlineStr">
        <is>
          <t>OL</t>
        </is>
      </c>
      <c r="D108" s="21">
        <f>VLOOKUP(C108,journal_to_ledger!B:E,4,FALSE)</f>
        <v/>
      </c>
    </row>
    <row r="109">
      <c r="A109" s="21" t="n">
        <v>2022</v>
      </c>
      <c r="B109" s="22" t="inlineStr">
        <is>
          <t>ol35 录像 宋嘉瑶</t>
        </is>
      </c>
      <c r="C109" s="22" t="inlineStr">
        <is>
          <t>OL-N</t>
        </is>
      </c>
      <c r="D109" s="21">
        <f>VLOOKUP(C109,journal_to_ledger!B:E,4,FALSE)</f>
        <v/>
      </c>
    </row>
    <row r="110">
      <c r="A110" s="21" t="n">
        <v>2022</v>
      </c>
      <c r="B110" s="22" t="inlineStr">
        <is>
          <t>OL35 余泊林</t>
        </is>
      </c>
      <c r="C110" s="22" t="inlineStr">
        <is>
          <t>OL</t>
        </is>
      </c>
      <c r="D110" s="21">
        <f>VLOOKUP(C110,journal_to_ledger!B:E,4,FALSE)</f>
        <v/>
      </c>
    </row>
    <row r="111">
      <c r="A111" s="21" t="n">
        <v>2022</v>
      </c>
      <c r="B111" s="22" t="inlineStr">
        <is>
          <t>OL35+谭丹妮</t>
        </is>
      </c>
      <c r="C111" s="22" t="inlineStr">
        <is>
          <t>OL</t>
        </is>
      </c>
      <c r="D111" s="21">
        <f>VLOOKUP(C111,journal_to_ledger!B:E,4,FALSE)</f>
        <v/>
      </c>
    </row>
    <row r="112">
      <c r="A112" s="21" t="n">
        <v>2022</v>
      </c>
      <c r="B112" s="22" t="inlineStr">
        <is>
          <t>OL35孙韵晴</t>
        </is>
      </c>
      <c r="C112" s="22" t="inlineStr">
        <is>
          <t>OL</t>
        </is>
      </c>
      <c r="D112" s="21">
        <f>VLOOKUP(C112,journal_to_ledger!B:E,4,FALSE)</f>
        <v/>
      </c>
    </row>
    <row r="113">
      <c r="A113" s="21" t="n">
        <v>2022</v>
      </c>
      <c r="B113" s="22" t="inlineStr">
        <is>
          <t>OL35-吴靖阳</t>
        </is>
      </c>
      <c r="C113" s="22" t="inlineStr">
        <is>
          <t>OL</t>
        </is>
      </c>
      <c r="D113" s="21">
        <f>VLOOKUP(C113,journal_to_ledger!B:E,4,FALSE)</f>
        <v/>
      </c>
    </row>
    <row r="114">
      <c r="A114" s="21" t="n">
        <v>2022</v>
      </c>
      <c r="B114" s="22" t="inlineStr">
        <is>
          <t>OL35朱威宇</t>
        </is>
      </c>
      <c r="C114" s="22" t="inlineStr">
        <is>
          <t>OL</t>
        </is>
      </c>
      <c r="D114" s="21">
        <f>VLOOKUP(C114,journal_to_ledger!B:E,4,FALSE)</f>
        <v/>
      </c>
    </row>
    <row r="115">
      <c r="A115" s="21" t="n">
        <v>2022</v>
      </c>
      <c r="B115" s="22" t="inlineStr">
        <is>
          <t>OL35+徐一弘</t>
        </is>
      </c>
      <c r="C115" s="22" t="inlineStr">
        <is>
          <t>OL</t>
        </is>
      </c>
      <c r="D115" s="21">
        <f>VLOOKUP(C115,journal_to_ledger!B:E,4,FALSE)</f>
        <v/>
      </c>
    </row>
    <row r="116">
      <c r="A116" s="21" t="n">
        <v>2022</v>
      </c>
      <c r="B116" s="22" t="inlineStr">
        <is>
          <t>OL35 录像 张佳讯</t>
        </is>
      </c>
      <c r="C116" s="22" t="inlineStr">
        <is>
          <t>OL-N</t>
        </is>
      </c>
      <c r="D116" s="21">
        <f>VLOOKUP(C116,journal_to_ledger!B:E,4,FALSE)</f>
        <v/>
      </c>
    </row>
    <row r="117">
      <c r="A117" s="21" t="n">
        <v>2022</v>
      </c>
      <c r="B117" s="22" t="inlineStr">
        <is>
          <t>刘星宇 罗切斯特大学</t>
        </is>
      </c>
      <c r="C117" s="22" t="inlineStr">
        <is>
          <t>书院</t>
        </is>
      </c>
      <c r="D117" s="21">
        <f>VLOOKUP(C117,journal_to_ledger!B:E,4,FALSE)</f>
        <v/>
      </c>
    </row>
    <row r="118">
      <c r="A118" s="21" t="n">
        <v>2022</v>
      </c>
      <c r="B118" s="22" t="inlineStr">
        <is>
          <t>段珮楠 OL35 课费[emoji]\u2795[/emoji]押金</t>
        </is>
      </c>
      <c r="C118" s="22" t="inlineStr">
        <is>
          <t>OL</t>
        </is>
      </c>
      <c r="D118" s="21">
        <f>VLOOKUP(C118,journal_to_ledger!B:E,4,FALSE)</f>
        <v/>
      </c>
    </row>
    <row r="119">
      <c r="A119" s="21" t="n">
        <v>2022</v>
      </c>
      <c r="B119" s="22" t="inlineStr">
        <is>
          <t>陈奕同 平和学校</t>
        </is>
      </c>
      <c r="C119" s="22" t="inlineStr">
        <is>
          <t>书院</t>
        </is>
      </c>
      <c r="D119" s="21">
        <f>VLOOKUP(C119,journal_to_ledger!B:E,4,FALSE)</f>
        <v/>
      </c>
    </row>
    <row r="120">
      <c r="A120" s="21" t="n">
        <v>2022</v>
      </c>
      <c r="B120" s="22" t="inlineStr">
        <is>
          <t>赵胤彤 光华启迪</t>
        </is>
      </c>
      <c r="C120" s="22" t="inlineStr">
        <is>
          <t>书院</t>
        </is>
      </c>
      <c r="D120" s="21">
        <f>VLOOKUP(C120,journal_to_ledger!B:E,4,FALSE)</f>
        <v/>
      </c>
    </row>
    <row r="121">
      <c r="A121" s="21" t="n">
        <v>2022</v>
      </c>
      <c r="B121" s="22" t="inlineStr">
        <is>
          <t>王子函 （University of Rochester）</t>
        </is>
      </c>
      <c r="C121" s="22" t="inlineStr">
        <is>
          <t>书院</t>
        </is>
      </c>
      <c r="D121" s="21">
        <f>VLOOKUP(C121,journal_to_ledger!B:E,4,FALSE)</f>
        <v/>
      </c>
    </row>
    <row r="122">
      <c r="A122" s="21" t="n">
        <v>2022</v>
      </c>
      <c r="B122" s="22" t="inlineStr">
        <is>
          <t>生依诺 大连理工大学 书院费用</t>
        </is>
      </c>
      <c r="C122" s="22" t="inlineStr">
        <is>
          <t>书院</t>
        </is>
      </c>
      <c r="D122" s="21">
        <f>VLOOKUP(C122,journal_to_ledger!B:E,4,FALSE)</f>
        <v/>
      </c>
    </row>
    <row r="123">
      <c r="A123" s="21" t="n">
        <v>2022</v>
      </c>
      <c r="B123" s="22" t="inlineStr">
        <is>
          <t>OL35+徐昱哲</t>
        </is>
      </c>
      <c r="C123" s="22" t="inlineStr">
        <is>
          <t>OL</t>
        </is>
      </c>
      <c r="D123" s="21">
        <f>VLOOKUP(C123,journal_to_ledger!B:E,4,FALSE)</f>
        <v/>
      </c>
    </row>
    <row r="124">
      <c r="A124" s="21" t="n">
        <v>2022</v>
      </c>
      <c r="B124" s="22" t="inlineStr">
        <is>
          <t>OL36_凌唯淇</t>
        </is>
      </c>
      <c r="C124" s="22" t="inlineStr">
        <is>
          <t>OL</t>
        </is>
      </c>
      <c r="D124" s="21">
        <f>VLOOKUP(C124,journal_to_ledger!B:E,4,FALSE)</f>
        <v/>
      </c>
    </row>
    <row r="125">
      <c r="A125" s="21" t="n">
        <v>2022</v>
      </c>
      <c r="B125" s="22" t="inlineStr">
        <is>
          <t>OL35 李可悦</t>
        </is>
      </c>
      <c r="C125" s="22" t="inlineStr">
        <is>
          <t>OL</t>
        </is>
      </c>
      <c r="D125" s="21">
        <f>VLOOKUP(C125,journal_to_ledger!B:E,4,FALSE)</f>
        <v/>
      </c>
    </row>
    <row r="126">
      <c r="A126" s="21" t="n">
        <v>2022</v>
      </c>
      <c r="B126" s="22" t="inlineStr">
        <is>
          <t>姓名：李远泽 学校：北京市第三十五中学</t>
        </is>
      </c>
      <c r="C126" s="22" t="inlineStr">
        <is>
          <t>书院</t>
        </is>
      </c>
      <c r="D126" s="21">
        <f>VLOOKUP(C126,journal_to_ledger!B:E,4,FALSE)</f>
        <v/>
      </c>
    </row>
    <row r="127">
      <c r="A127" s="21" t="n">
        <v>2022</v>
      </c>
      <c r="B127" s="22" t="inlineStr">
        <is>
          <t>OL36 郑涵</t>
        </is>
      </c>
      <c r="C127" s="22" t="inlineStr">
        <is>
          <t>OL</t>
        </is>
      </c>
      <c r="D127" s="21">
        <f>VLOOKUP(C127,journal_to_ledger!B:E,4,FALSE)</f>
        <v/>
      </c>
    </row>
    <row r="128">
      <c r="A128" s="21" t="n">
        <v>2022</v>
      </c>
      <c r="B128" s="22" t="inlineStr">
        <is>
          <t>OL36 梁名宇</t>
        </is>
      </c>
      <c r="C128" s="22" t="inlineStr">
        <is>
          <t>OL</t>
        </is>
      </c>
      <c r="D128" s="21">
        <f>VLOOKUP(C128,journal_to_ledger!B:E,4,FALSE)</f>
        <v/>
      </c>
    </row>
    <row r="129">
      <c r="A129" s="21" t="n">
        <v>2022</v>
      </c>
      <c r="B129" s="22" t="inlineStr">
        <is>
          <t>OL36+李雨茗</t>
        </is>
      </c>
      <c r="C129" s="22" t="inlineStr">
        <is>
          <t>OL</t>
        </is>
      </c>
      <c r="D129" s="21">
        <f>VLOOKUP(C129,journal_to_ledger!B:E,4,FALSE)</f>
        <v/>
      </c>
    </row>
    <row r="130">
      <c r="A130" s="21" t="n">
        <v>2022</v>
      </c>
      <c r="B130" s="22" t="inlineStr">
        <is>
          <t>OL36戴蔚杰</t>
        </is>
      </c>
      <c r="C130" s="22" t="inlineStr">
        <is>
          <t>OL</t>
        </is>
      </c>
      <c r="D130" s="21">
        <f>VLOOKUP(C130,journal_to_ledger!B:E,4,FALSE)</f>
        <v/>
      </c>
    </row>
    <row r="131">
      <c r="A131" s="21" t="n">
        <v>2022</v>
      </c>
      <c r="B131" s="22" t="inlineStr">
        <is>
          <t>徐培豪 北京化工大学</t>
        </is>
      </c>
      <c r="C131" s="22" t="inlineStr">
        <is>
          <t>书院</t>
        </is>
      </c>
      <c r="D131" s="21">
        <f>VLOOKUP(C131,journal_to_ledger!B:E,4,FALSE)</f>
        <v/>
      </c>
    </row>
    <row r="132">
      <c r="A132" s="21" t="n">
        <v>2022</v>
      </c>
      <c r="B132" s="22" t="inlineStr">
        <is>
          <t>OL36喻瑶</t>
        </is>
      </c>
      <c r="C132" s="22" t="inlineStr">
        <is>
          <t>OL</t>
        </is>
      </c>
      <c r="D132" s="21">
        <f>VLOOKUP(C132,journal_to_ledger!B:E,4,FALSE)</f>
        <v/>
      </c>
    </row>
    <row r="133">
      <c r="A133" s="21" t="n">
        <v>2022</v>
      </c>
      <c r="B133" s="22" t="inlineStr">
        <is>
          <t>OL36刘林毅</t>
        </is>
      </c>
      <c r="C133" s="22" t="inlineStr">
        <is>
          <t>OL</t>
        </is>
      </c>
      <c r="D133" s="21">
        <f>VLOOKUP(C133,journal_to_ledger!B:E,4,FALSE)</f>
        <v/>
      </c>
    </row>
    <row r="134">
      <c r="A134" s="21" t="n">
        <v>2022</v>
      </c>
      <c r="B134" s="22" t="inlineStr">
        <is>
          <t>OL36 Anna陈一语</t>
        </is>
      </c>
      <c r="C134" s="22" t="inlineStr">
        <is>
          <t>OL</t>
        </is>
      </c>
      <c r="D134" s="21">
        <f>VLOOKUP(C134,journal_to_ledger!B:E,4,FALSE)</f>
        <v/>
      </c>
    </row>
    <row r="135">
      <c r="A135" s="21" t="n">
        <v>2022</v>
      </c>
      <c r="B135" s="22" t="inlineStr">
        <is>
          <t>彭宇彤，武汉大学。</t>
        </is>
      </c>
      <c r="C135" s="22" t="inlineStr">
        <is>
          <t>书院</t>
        </is>
      </c>
      <c r="D135" s="21">
        <f>VLOOKUP(C135,journal_to_ledger!B:E,4,FALSE)</f>
        <v/>
      </c>
    </row>
    <row r="136">
      <c r="A136" s="21" t="n">
        <v>2022</v>
      </c>
      <c r="B136" s="22" t="inlineStr">
        <is>
          <t>转账</t>
        </is>
      </c>
      <c r="C136" s="22" t="inlineStr">
        <is>
          <t>书院</t>
        </is>
      </c>
      <c r="D136" s="21">
        <f>VLOOKUP(C136,journal_to_ledger!B:E,4,FALSE)</f>
        <v/>
      </c>
    </row>
    <row r="137">
      <c r="A137" s="21" t="n">
        <v>2022</v>
      </c>
      <c r="B137" s="22" t="inlineStr">
        <is>
          <t>刘天安 UWC</t>
        </is>
      </c>
      <c r="C137" s="22" t="inlineStr">
        <is>
          <t>书院</t>
        </is>
      </c>
      <c r="D137" s="21">
        <f>VLOOKUP(C137,journal_to_ledger!B:E,4,FALSE)</f>
        <v/>
      </c>
    </row>
    <row r="138">
      <c r="A138" s="21" t="n">
        <v>2022</v>
      </c>
      <c r="B138" s="22" t="inlineStr">
        <is>
          <t>OL36+王程凯</t>
        </is>
      </c>
      <c r="C138" s="22" t="inlineStr">
        <is>
          <t>OL</t>
        </is>
      </c>
      <c r="D138" s="21">
        <f>VLOOKUP(C138,journal_to_ledger!B:E,4,FALSE)</f>
        <v/>
      </c>
    </row>
    <row r="139">
      <c r="A139" s="21" t="n">
        <v>2022</v>
      </c>
      <c r="B139" s="22" t="inlineStr">
        <is>
          <t>谢馥阳 深圳国际交流学院</t>
        </is>
      </c>
      <c r="C139" s="22" t="inlineStr">
        <is>
          <t>书院</t>
        </is>
      </c>
      <c r="D139" s="21">
        <f>VLOOKUP(C139,journal_to_ledger!B:E,4,FALSE)</f>
        <v/>
      </c>
    </row>
    <row r="140">
      <c r="A140" s="21" t="n">
        <v>2022</v>
      </c>
      <c r="B140" s="22" t="inlineStr">
        <is>
          <t>OL36朱子</t>
        </is>
      </c>
      <c r="C140" s="22" t="inlineStr">
        <is>
          <t>OL</t>
        </is>
      </c>
      <c r="D140" s="21">
        <f>VLOOKUP(C140,journal_to_ledger!B:E,4,FALSE)</f>
        <v/>
      </c>
    </row>
    <row r="141">
      <c r="A141" s="21" t="n">
        <v>2022</v>
      </c>
      <c r="B141" s="22" t="inlineStr">
        <is>
          <t>OL36 吴雪纯（宇斓）</t>
        </is>
      </c>
      <c r="C141" s="22" t="inlineStr">
        <is>
          <t>OL</t>
        </is>
      </c>
      <c r="D141" s="21">
        <f>VLOOKUP(C141,journal_to_ledger!B:E,4,FALSE)</f>
        <v/>
      </c>
    </row>
    <row r="142">
      <c r="A142" s="21" t="n">
        <v>2022</v>
      </c>
      <c r="B142" s="22" t="inlineStr">
        <is>
          <t>OL36｜武帅辰</t>
        </is>
      </c>
      <c r="C142" s="22" t="inlineStr">
        <is>
          <t>OL</t>
        </is>
      </c>
      <c r="D142" s="21">
        <f>VLOOKUP(C142,journal_to_ledger!B:E,4,FALSE)</f>
        <v/>
      </c>
    </row>
    <row r="143">
      <c r="A143" s="21" t="n">
        <v>2022</v>
      </c>
      <c r="B143" s="22" t="inlineStr">
        <is>
          <t>OL36+王泺淇</t>
        </is>
      </c>
      <c r="C143" s="22" t="inlineStr">
        <is>
          <t>OL</t>
        </is>
      </c>
      <c r="D143" s="21">
        <f>VLOOKUP(C143,journal_to_ledger!B:E,4,FALSE)</f>
        <v/>
      </c>
    </row>
    <row r="144">
      <c r="A144" s="21" t="n">
        <v>2022</v>
      </c>
      <c r="B144" s="22" t="inlineStr">
        <is>
          <t>OL36+李宛蔓</t>
        </is>
      </c>
      <c r="C144" s="22" t="inlineStr">
        <is>
          <t>OL</t>
        </is>
      </c>
      <c r="D144" s="21">
        <f>VLOOKUP(C144,journal_to_ledger!B:E,4,FALSE)</f>
        <v/>
      </c>
    </row>
    <row r="145">
      <c r="A145" s="21" t="n">
        <v>2022</v>
      </c>
      <c r="B145" s="22" t="inlineStr">
        <is>
          <t>朱昭彰 武汉大学</t>
        </is>
      </c>
      <c r="C145" s="22" t="inlineStr">
        <is>
          <t>书院</t>
        </is>
      </c>
      <c r="D145" s="21">
        <f>VLOOKUP(C145,journal_to_ledger!B:E,4,FALSE)</f>
        <v/>
      </c>
    </row>
    <row r="146">
      <c r="A146" s="21" t="n">
        <v>2022</v>
      </c>
      <c r="B146" s="22" t="inlineStr">
        <is>
          <t>张若溪 深圳国际交流学院</t>
        </is>
      </c>
      <c r="C146" s="22" t="inlineStr">
        <is>
          <t>书院</t>
        </is>
      </c>
      <c r="D146" s="21">
        <f>VLOOKUP(C146,journal_to_ledger!B:E,4,FALSE)</f>
        <v/>
      </c>
    </row>
    <row r="147">
      <c r="A147" s="21" t="n">
        <v>2022</v>
      </c>
      <c r="B147" s="22" t="inlineStr">
        <is>
          <t>OL36+黄颖瑜</t>
        </is>
      </c>
      <c r="C147" s="22" t="inlineStr">
        <is>
          <t>OL</t>
        </is>
      </c>
      <c r="D147" s="21">
        <f>VLOOKUP(C147,journal_to_ledger!B:E,4,FALSE)</f>
        <v/>
      </c>
    </row>
    <row r="148">
      <c r="A148" s="21" t="n">
        <v>2022</v>
      </c>
      <c r="B148" s="22" t="inlineStr">
        <is>
          <t>程佳慧 重庆大学</t>
        </is>
      </c>
      <c r="C148" s="22" t="inlineStr">
        <is>
          <t>书院</t>
        </is>
      </c>
      <c r="D148" s="21">
        <f>VLOOKUP(C148,journal_to_ledger!B:E,4,FALSE)</f>
        <v/>
      </c>
    </row>
    <row r="149">
      <c r="A149" s="21" t="n">
        <v>2022</v>
      </c>
      <c r="B149" s="22" t="inlineStr">
        <is>
          <t>南京外国语学校 陈思源</t>
        </is>
      </c>
      <c r="C149" s="22" t="inlineStr">
        <is>
          <t>书院</t>
        </is>
      </c>
      <c r="D149" s="21">
        <f>VLOOKUP(C149,journal_to_ledger!B:E,4,FALSE)</f>
        <v/>
      </c>
    </row>
    <row r="150">
      <c r="A150" s="21" t="n">
        <v>2022</v>
      </c>
      <c r="B150" s="22" t="inlineStr">
        <is>
          <t>郭唯笑 St Mary’s school Cambridge</t>
        </is>
      </c>
      <c r="C150" s="22" t="inlineStr">
        <is>
          <t>书院</t>
        </is>
      </c>
      <c r="D150" s="21">
        <f>VLOOKUP(C150,journal_to_ledger!B:E,4,FALSE)</f>
        <v/>
      </c>
    </row>
    <row r="151">
      <c r="A151" s="21" t="n">
        <v>2022</v>
      </c>
      <c r="B151" s="22" t="inlineStr">
        <is>
          <t>陈思琪 首都师范大学附属中学</t>
        </is>
      </c>
      <c r="C151" s="22" t="inlineStr">
        <is>
          <t>书院</t>
        </is>
      </c>
      <c r="D151" s="21">
        <f>VLOOKUP(C151,journal_to_ledger!B:E,4,FALSE)</f>
        <v/>
      </c>
    </row>
    <row r="152">
      <c r="A152" s="21" t="n">
        <v>2022</v>
      </c>
      <c r="B152" s="22" t="inlineStr">
        <is>
          <t>OL36文柠</t>
        </is>
      </c>
      <c r="C152" s="22" t="inlineStr">
        <is>
          <t>OL</t>
        </is>
      </c>
      <c r="D152" s="21">
        <f>VLOOKUP(C152,journal_to_ledger!B:E,4,FALSE)</f>
        <v/>
      </c>
    </row>
    <row r="153">
      <c r="A153" s="21" t="n">
        <v>2022</v>
      </c>
      <c r="B153" s="22" t="inlineStr">
        <is>
          <t>王欣欣 香港大学</t>
        </is>
      </c>
      <c r="C153" s="22" t="inlineStr">
        <is>
          <t>书院</t>
        </is>
      </c>
      <c r="D153" s="21">
        <f>VLOOKUP(C153,journal_to_ledger!B:E,4,FALSE)</f>
        <v/>
      </c>
    </row>
    <row r="154">
      <c r="A154" s="21" t="n">
        <v>2022</v>
      </c>
      <c r="B154" s="22" t="inlineStr">
        <is>
          <t>OL36 张若昀</t>
        </is>
      </c>
      <c r="C154" s="22" t="inlineStr">
        <is>
          <t>OL</t>
        </is>
      </c>
      <c r="D154" s="21">
        <f>VLOOKUP(C154,journal_to_ledger!B:E,4,FALSE)</f>
        <v/>
      </c>
    </row>
    <row r="155">
      <c r="A155" s="21" t="n">
        <v>2022</v>
      </c>
      <c r="B155" s="22" t="inlineStr">
        <is>
          <t>OL36 马卡</t>
        </is>
      </c>
      <c r="C155" s="22" t="inlineStr">
        <is>
          <t>OL</t>
        </is>
      </c>
      <c r="D155" s="21">
        <f>VLOOKUP(C155,journal_to_ledger!B:E,4,FALSE)</f>
        <v/>
      </c>
    </row>
    <row r="156">
      <c r="A156" s="21" t="n">
        <v>2022</v>
      </c>
      <c r="B156" s="22" t="inlineStr">
        <is>
          <t>袁子能 雅礼中学国际部</t>
        </is>
      </c>
      <c r="C156" s="22" t="inlineStr">
        <is>
          <t>书院</t>
        </is>
      </c>
      <c r="D156" s="21">
        <f>VLOOKUP(C156,journal_to_ledger!B:E,4,FALSE)</f>
        <v/>
      </c>
    </row>
    <row r="157">
      <c r="A157" s="21" t="n">
        <v>2022</v>
      </c>
      <c r="B157" s="22" t="inlineStr">
        <is>
          <t>李泓锦，深圳国际交流学院</t>
        </is>
      </c>
      <c r="C157" s="22" t="inlineStr">
        <is>
          <t>书院</t>
        </is>
      </c>
      <c r="D157" s="21">
        <f>VLOOKUP(C157,journal_to_ledger!B:E,4,FALSE)</f>
        <v/>
      </c>
    </row>
    <row r="158">
      <c r="A158" s="21" t="n">
        <v>2022</v>
      </c>
      <c r="B158" s="22" t="inlineStr">
        <is>
          <t>王泳嘉 Dana Hall营费</t>
        </is>
      </c>
      <c r="C158" s="22" t="inlineStr">
        <is>
          <t>书院</t>
        </is>
      </c>
      <c r="D158" s="21">
        <f>VLOOKUP(C158,journal_to_ledger!B:E,4,FALSE)</f>
        <v/>
      </c>
    </row>
    <row r="159">
      <c r="A159" s="21" t="n">
        <v>2022</v>
      </c>
      <c r="B159" s="22" t="inlineStr">
        <is>
          <t>OL 36+ 王炫迪</t>
        </is>
      </c>
      <c r="C159" s="22" t="inlineStr">
        <is>
          <t>OL</t>
        </is>
      </c>
      <c r="D159" s="21">
        <f>VLOOKUP(C159,journal_to_ledger!B:E,4,FALSE)</f>
        <v/>
      </c>
    </row>
    <row r="160">
      <c r="A160" s="21" t="n">
        <v>2022</v>
      </c>
      <c r="B160" s="22" t="inlineStr">
        <is>
          <t>ol36退款</t>
        </is>
      </c>
      <c r="C160" s="22" t="inlineStr">
        <is>
          <t>OL</t>
        </is>
      </c>
      <c r="D160" s="21">
        <f>VLOOKUP(C160,journal_to_ledger!B:E,4,FALSE)</f>
        <v/>
      </c>
    </row>
    <row r="161">
      <c r="A161" s="21" t="n">
        <v>2022</v>
      </c>
      <c r="B161" s="22" t="inlineStr">
        <is>
          <t>徐子非 万科梅沙书院</t>
        </is>
      </c>
      <c r="C161" s="22" t="inlineStr">
        <is>
          <t>书院</t>
        </is>
      </c>
      <c r="D161" s="21">
        <f>VLOOKUP(C161,journal_to_ledger!B:E,4,FALSE)</f>
        <v/>
      </c>
    </row>
    <row r="162">
      <c r="A162" s="21" t="n">
        <v>2022</v>
      </c>
      <c r="B162" s="22" t="inlineStr">
        <is>
          <t>马怡昕 郑州航空工业管理学院</t>
        </is>
      </c>
      <c r="C162" s="22" t="inlineStr">
        <is>
          <t>书院</t>
        </is>
      </c>
      <c r="D162" s="21">
        <f>VLOOKUP(C162,journal_to_ledger!B:E,4,FALSE)</f>
        <v/>
      </c>
    </row>
    <row r="163">
      <c r="A163" s="21" t="n">
        <v>2022</v>
      </c>
      <c r="B163" s="22" t="inlineStr">
        <is>
          <t>胡峻旗 华南师范大学附属中学国际部</t>
        </is>
      </c>
      <c r="C163" s="22" t="inlineStr">
        <is>
          <t>书院</t>
        </is>
      </c>
      <c r="D163" s="21">
        <f>VLOOKUP(C163,journal_to_ledger!B:E,4,FALSE)</f>
        <v/>
      </c>
    </row>
    <row r="164">
      <c r="A164" s="21" t="n">
        <v>2022</v>
      </c>
      <c r="B164" s="22" t="inlineStr">
        <is>
          <t>申玥林 华南师范大学附属中学国际部</t>
        </is>
      </c>
      <c r="C164" s="22" t="inlineStr">
        <is>
          <t>书院</t>
        </is>
      </c>
      <c r="D164" s="21">
        <f>VLOOKUP(C164,journal_to_ledger!B:E,4,FALSE)</f>
        <v/>
      </c>
    </row>
    <row r="165">
      <c r="A165" s="21" t="n">
        <v>2022</v>
      </c>
      <c r="B165" s="22" t="inlineStr">
        <is>
          <t>北师大实验国际部 陈潇潇</t>
        </is>
      </c>
      <c r="C165" s="22" t="inlineStr">
        <is>
          <t>书院</t>
        </is>
      </c>
      <c r="D165" s="21">
        <f>VLOOKUP(C165,journal_to_ledger!B:E,4,FALSE)</f>
        <v/>
      </c>
    </row>
    <row r="166">
      <c r="A166" s="21" t="n">
        <v>2022</v>
      </c>
      <c r="B166" s="22" t="inlineStr">
        <is>
          <t>李书铭 山东财经大学</t>
        </is>
      </c>
      <c r="C166" s="22" t="inlineStr">
        <is>
          <t>书院</t>
        </is>
      </c>
      <c r="D166" s="21">
        <f>VLOOKUP(C166,journal_to_ledger!B:E,4,FALSE)</f>
        <v/>
      </c>
    </row>
    <row r="167">
      <c r="A167" s="21" t="n">
        <v>2022</v>
      </c>
      <c r="B167" s="22" t="inlineStr">
        <is>
          <t>企业网银高级版</t>
        </is>
      </c>
      <c r="C167" s="22" t="inlineStr">
        <is>
          <t>运营</t>
        </is>
      </c>
      <c r="D167" s="21">
        <f>VLOOKUP(C167,journal_to_ledger!B:E,4,FALSE)</f>
        <v/>
      </c>
    </row>
    <row r="168">
      <c r="A168" s="21" t="n">
        <v>2022</v>
      </c>
      <c r="B168" s="22" t="n"/>
      <c r="C168" s="22" t="inlineStr">
        <is>
          <t>结息</t>
        </is>
      </c>
      <c r="D168" s="21">
        <f>VLOOKUP(C168,journal_to_ledger!B:E,4,FALSE)</f>
        <v/>
      </c>
    </row>
    <row r="169">
      <c r="A169" s="21" t="n">
        <v>2022</v>
      </c>
      <c r="B169" s="22" t="inlineStr">
        <is>
          <t>武外英中张笑晗唯理线上书院缴费</t>
        </is>
      </c>
      <c r="C169" s="22" t="inlineStr">
        <is>
          <t>书院</t>
        </is>
      </c>
      <c r="D169" s="21">
        <f>VLOOKUP(C169,journal_to_ledger!B:E,4,FALSE)</f>
        <v/>
      </c>
    </row>
    <row r="170">
      <c r="A170" s="21" t="n">
        <v>2022</v>
      </c>
      <c r="B170" s="22" t="inlineStr">
        <is>
          <t>陈依唯，广东碧桂园学校</t>
        </is>
      </c>
      <c r="C170" s="22" t="inlineStr">
        <is>
          <t>书院</t>
        </is>
      </c>
      <c r="D170" s="21">
        <f>VLOOKUP(C170,journal_to_ledger!B:E,4,FALSE)</f>
        <v/>
      </c>
    </row>
    <row r="171">
      <c r="A171" s="21" t="n">
        <v>2022</v>
      </c>
      <c r="B171" s="22" t="inlineStr">
        <is>
          <t>南京大学徐静</t>
        </is>
      </c>
      <c r="C171" s="22" t="inlineStr">
        <is>
          <t>书院</t>
        </is>
      </c>
      <c r="D171" s="21">
        <f>VLOOKUP(C171,journal_to_ledger!B:E,4,FALSE)</f>
        <v/>
      </c>
    </row>
    <row r="172">
      <c r="A172" s="21" t="n">
        <v>2022</v>
      </c>
      <c r="B172" s="22" t="inlineStr">
        <is>
          <t>董泠君广州华附国际部HFI</t>
        </is>
      </c>
      <c r="C172" s="22" t="inlineStr">
        <is>
          <t>书院</t>
        </is>
      </c>
      <c r="D172" s="21">
        <f>VLOOKUP(C172,journal_to_ledger!B:E,4,FALSE)</f>
        <v/>
      </c>
    </row>
    <row r="173">
      <c r="A173" s="21" t="n">
        <v>2022</v>
      </c>
      <c r="B173" s="22" t="inlineStr">
        <is>
          <t>赵姗姗深圳国际交流学院</t>
        </is>
      </c>
      <c r="C173" s="22" t="inlineStr">
        <is>
          <t>书院</t>
        </is>
      </c>
      <c r="D173" s="21">
        <f>VLOOKUP(C173,journal_to_ledger!B:E,4,FALSE)</f>
        <v/>
      </c>
    </row>
    <row r="174">
      <c r="A174" s="21" t="n">
        <v>2022</v>
      </c>
      <c r="B174" s="22" t="inlineStr">
        <is>
          <t>王柯颖，济南外国语学校</t>
        </is>
      </c>
      <c r="C174" s="22" t="inlineStr">
        <is>
          <t>书院</t>
        </is>
      </c>
      <c r="D174" s="21">
        <f>VLOOKUP(C174,journal_to_ledger!B:E,4,FALSE)</f>
        <v/>
      </c>
    </row>
    <row r="175">
      <c r="A175" s="21" t="n">
        <v>2022</v>
      </c>
      <c r="B175" s="22" t="inlineStr">
        <is>
          <t>备注是赵一伟SantaMonicaCollege</t>
        </is>
      </c>
      <c r="C175" s="22" t="inlineStr">
        <is>
          <t>书院</t>
        </is>
      </c>
      <c r="D175" s="21">
        <f>VLOOKUP(C175,journal_to_ledger!B:E,4,FALSE)</f>
        <v/>
      </c>
    </row>
    <row r="176">
      <c r="A176" s="21" t="n">
        <v>2022</v>
      </c>
      <c r="B176" s="22" t="inlineStr">
        <is>
          <t>侯靖淇北师大实验中学</t>
        </is>
      </c>
      <c r="C176" s="22" t="inlineStr">
        <is>
          <t>书院</t>
        </is>
      </c>
      <c r="D176" s="21">
        <f>VLOOKUP(C176,journal_to_ledger!B:E,4,FALSE)</f>
        <v/>
      </c>
    </row>
    <row r="177">
      <c r="A177" s="21" t="n">
        <v>2022</v>
      </c>
      <c r="B177" s="22" t="inlineStr">
        <is>
          <t>EasonYang/TrinityCollegeSch</t>
        </is>
      </c>
      <c r="C177" s="22" t="inlineStr">
        <is>
          <t>书院</t>
        </is>
      </c>
      <c r="D177" s="21">
        <f>VLOOKUP(C177,journal_to_ledger!B:E,4,FALSE)</f>
        <v/>
      </c>
    </row>
    <row r="178">
      <c r="A178" s="21" t="n">
        <v>2022</v>
      </c>
      <c r="B178" s="22" t="inlineStr">
        <is>
          <t>张画</t>
        </is>
      </c>
      <c r="C178" s="22" t="inlineStr">
        <is>
          <t>书院</t>
        </is>
      </c>
      <c r="D178" s="21">
        <f>VLOOKUP(C178,journal_to_ledger!B:E,4,FALSE)</f>
        <v/>
      </c>
    </row>
    <row r="179">
      <c r="A179" s="21" t="n">
        <v>2022</v>
      </c>
      <c r="B179" s="22" t="inlineStr">
        <is>
          <t>ol35退押金</t>
        </is>
      </c>
      <c r="C179" s="22" t="inlineStr">
        <is>
          <t>OL-D</t>
        </is>
      </c>
      <c r="D179" s="21">
        <f>VLOOKUP(C179,journal_to_ledger!B:E,4,FALSE)</f>
        <v/>
      </c>
    </row>
    <row r="180">
      <c r="A180" s="21" t="n">
        <v>2022</v>
      </c>
      <c r="B180" s="22" t="inlineStr">
        <is>
          <t>ol32退押金</t>
        </is>
      </c>
      <c r="C180" s="22" t="inlineStr">
        <is>
          <t>OL-D</t>
        </is>
      </c>
      <c r="D180" s="21">
        <f>VLOOKUP(C180,journal_to_ledger!B:E,4,FALSE)</f>
        <v/>
      </c>
    </row>
    <row r="181">
      <c r="A181" s="21" t="n">
        <v>2022</v>
      </c>
      <c r="B181" s="22" t="inlineStr">
        <is>
          <t>转录像课退款</t>
        </is>
      </c>
      <c r="C181" s="22" t="inlineStr">
        <is>
          <t>OL</t>
        </is>
      </c>
      <c r="D181" s="21">
        <f>VLOOKUP(C181,journal_to_ledger!B:E,4,FALSE)</f>
        <v/>
      </c>
    </row>
    <row r="182">
      <c r="A182" s="21" t="n">
        <v>2022</v>
      </c>
      <c r="B182" s="22" t="inlineStr">
        <is>
          <t>广东实验中学AP国际课程 黄嘉雯</t>
        </is>
      </c>
      <c r="C182" s="22" t="inlineStr">
        <is>
          <t>书院</t>
        </is>
      </c>
      <c r="D182" s="21">
        <f>VLOOKUP(C182,journal_to_ledger!B:E,4,FALSE)</f>
        <v/>
      </c>
    </row>
    <row r="183">
      <c r="A183" s="21" t="n">
        <v>2022</v>
      </c>
      <c r="B183" s="22" t="inlineStr">
        <is>
          <t>王一鸣 重庆大学</t>
        </is>
      </c>
      <c r="C183" s="22" t="inlineStr">
        <is>
          <t>书院</t>
        </is>
      </c>
      <c r="D183" s="21">
        <f>VLOOKUP(C183,journal_to_ledger!B:E,4,FALSE)</f>
        <v/>
      </c>
    </row>
    <row r="184">
      <c r="A184" s="21" t="n">
        <v>2022</v>
      </c>
      <c r="B184" s="22" t="inlineStr">
        <is>
          <t>陈建宇，普宁市第二中学</t>
        </is>
      </c>
      <c r="C184" s="22" t="inlineStr">
        <is>
          <t>书院</t>
        </is>
      </c>
      <c r="D184" s="21">
        <f>VLOOKUP(C184,journal_to_ledger!B:E,4,FALSE)</f>
        <v/>
      </c>
    </row>
    <row r="185">
      <c r="A185" s="21" t="n">
        <v>2022</v>
      </c>
      <c r="B185" s="22" t="inlineStr">
        <is>
          <t>郑志亮 杭州电子科技大学</t>
        </is>
      </c>
      <c r="C185" s="22" t="inlineStr">
        <is>
          <t>书院</t>
        </is>
      </c>
      <c r="D185" s="21">
        <f>VLOOKUP(C185,journal_to_ledger!B:E,4,FALSE)</f>
        <v/>
      </c>
    </row>
    <row r="186">
      <c r="A186" s="21" t="n">
        <v>2022</v>
      </c>
      <c r="B186" s="22" t="inlineStr">
        <is>
          <t>王家宜 北京师范大学附属实验中学国际部</t>
        </is>
      </c>
      <c r="C186" s="22" t="inlineStr">
        <is>
          <t>书院</t>
        </is>
      </c>
      <c r="D186" s="21">
        <f>VLOOKUP(C186,journal_to_ledger!B:E,4,FALSE)</f>
        <v/>
      </c>
    </row>
    <row r="187">
      <c r="A187" s="21" t="n">
        <v>2022</v>
      </c>
      <c r="B187" s="22" t="inlineStr">
        <is>
          <t>洪琬悦 温州中学（已毕业 应届高考生）</t>
        </is>
      </c>
      <c r="C187" s="22" t="inlineStr">
        <is>
          <t>书院</t>
        </is>
      </c>
      <c r="D187" s="21">
        <f>VLOOKUP(C187,journal_to_ledger!B:E,4,FALSE)</f>
        <v/>
      </c>
    </row>
    <row r="188">
      <c r="A188" s="21" t="n">
        <v>2022</v>
      </c>
      <c r="B188" s="22" t="inlineStr">
        <is>
          <t>吴迪 上海世外中学</t>
        </is>
      </c>
      <c r="C188" s="22" t="inlineStr">
        <is>
          <t>书院</t>
        </is>
      </c>
      <c r="D188" s="21">
        <f>VLOOKUP(C188,journal_to_ledger!B:E,4,FALSE)</f>
        <v/>
      </c>
    </row>
    <row r="189">
      <c r="A189" s="21" t="n">
        <v>2022</v>
      </c>
      <c r="B189" s="22" t="inlineStr">
        <is>
          <t>申长坤 深圳国际交流学院</t>
        </is>
      </c>
      <c r="C189" s="22" t="inlineStr">
        <is>
          <t>书院</t>
        </is>
      </c>
      <c r="D189" s="21">
        <f>VLOOKUP(C189,journal_to_ledger!B:E,4,FALSE)</f>
        <v/>
      </c>
    </row>
    <row r="190">
      <c r="A190" s="21" t="n">
        <v>2022</v>
      </c>
      <c r="B190" s="22" t="inlineStr">
        <is>
          <t>徐凡舒 中国美术学院附属中学</t>
        </is>
      </c>
      <c r="C190" s="22" t="inlineStr">
        <is>
          <t>书院</t>
        </is>
      </c>
      <c r="D190" s="21">
        <f>VLOOKUP(C190,journal_to_ledger!B:E,4,FALSE)</f>
        <v/>
      </c>
    </row>
    <row r="191">
      <c r="A191" s="21" t="n">
        <v>2022</v>
      </c>
      <c r="B191" s="22" t="inlineStr">
        <is>
          <t>沈天怡the governor's academy上课费</t>
        </is>
      </c>
      <c r="C191" s="22" t="inlineStr">
        <is>
          <t>书院</t>
        </is>
      </c>
      <c r="D191" s="21">
        <f>VLOOKUP(C191,journal_to_ledger!B:E,4,FALSE)</f>
        <v/>
      </c>
    </row>
    <row r="192">
      <c r="A192" s="21" t="n">
        <v>2022</v>
      </c>
      <c r="B192" s="22" t="inlineStr">
        <is>
          <t>朱奕璇（广东实验中学AP国际部)</t>
        </is>
      </c>
      <c r="C192" s="22" t="inlineStr">
        <is>
          <t>书院</t>
        </is>
      </c>
      <c r="D192" s="21">
        <f>VLOOKUP(C192,journal_to_ledger!B:E,4,FALSE)</f>
        <v/>
      </c>
    </row>
    <row r="193">
      <c r="A193" s="21" t="n">
        <v>2022</v>
      </c>
      <c r="B193" s="22" t="inlineStr">
        <is>
          <t>钱佳包 东北师范大学 50%助学金</t>
        </is>
      </c>
      <c r="C193" s="22" t="inlineStr">
        <is>
          <t>书院</t>
        </is>
      </c>
      <c r="D193" s="21">
        <f>VLOOKUP(C193,journal_to_ledger!B:E,4,FALSE)</f>
        <v/>
      </c>
    </row>
    <row r="194">
      <c r="A194" s="21" t="n">
        <v>2022</v>
      </c>
      <c r="B194" s="22" t="inlineStr">
        <is>
          <t>薛亦雯 Bryn Mawr College</t>
        </is>
      </c>
      <c r="C194" s="22" t="inlineStr">
        <is>
          <t>书院</t>
        </is>
      </c>
      <c r="D194" s="21">
        <f>VLOOKUP(C194,journal_to_ledger!B:E,4,FALSE)</f>
        <v/>
      </c>
    </row>
    <row r="195">
      <c r="A195" s="21" t="n">
        <v>2022</v>
      </c>
      <c r="B195" s="22" t="inlineStr">
        <is>
          <t>陈江慧 南京外国语学校</t>
        </is>
      </c>
      <c r="C195" s="22" t="inlineStr">
        <is>
          <t>书院</t>
        </is>
      </c>
      <c r="D195" s="21">
        <f>VLOOKUP(C195,journal_to_ledger!B:E,4,FALSE)</f>
        <v/>
      </c>
    </row>
    <row r="196">
      <c r="A196" s="21" t="n">
        <v>2022</v>
      </c>
      <c r="B196" s="22" t="inlineStr">
        <is>
          <t>张温妮 华南师范大学附属中学国际部</t>
        </is>
      </c>
      <c r="C196" s="22" t="inlineStr">
        <is>
          <t>书院</t>
        </is>
      </c>
      <c r="D196" s="21">
        <f>VLOOKUP(C196,journal_to_ledger!B:E,4,FALSE)</f>
        <v/>
      </c>
    </row>
    <row r="197">
      <c r="A197" s="21" t="n">
        <v>2022</v>
      </c>
      <c r="B197" s="22" t="inlineStr">
        <is>
          <t>闫雪莹-中国人民大学附属中学</t>
        </is>
      </c>
      <c r="C197" s="22" t="inlineStr">
        <is>
          <t>书院</t>
        </is>
      </c>
      <c r="D197" s="21">
        <f>VLOOKUP(C197,journal_to_ledger!B:E,4,FALSE)</f>
        <v/>
      </c>
    </row>
    <row r="198">
      <c r="A198" s="21" t="n">
        <v>2022</v>
      </c>
      <c r="B198" s="22" t="inlineStr">
        <is>
          <t>2022届唯理线上书院活动 敖舒悦 油田三中</t>
        </is>
      </c>
      <c r="C198" s="22" t="inlineStr">
        <is>
          <t>书院</t>
        </is>
      </c>
      <c r="D198" s="21">
        <f>VLOOKUP(C198,journal_to_ledger!B:E,4,FALSE)</f>
        <v/>
      </c>
    </row>
    <row r="199">
      <c r="A199" s="21" t="n">
        <v>2022</v>
      </c>
      <c r="B199" s="22" t="inlineStr">
        <is>
          <t>华南师范大学附属中学国际部 肖霁菲</t>
        </is>
      </c>
      <c r="C199" s="22" t="inlineStr">
        <is>
          <t>书院</t>
        </is>
      </c>
      <c r="D199" s="21">
        <f>VLOOKUP(C199,journal_to_ledger!B:E,4,FALSE)</f>
        <v/>
      </c>
    </row>
    <row r="200">
      <c r="A200" s="21" t="n">
        <v>2022</v>
      </c>
      <c r="B200" s="22" t="inlineStr">
        <is>
          <t>杨鸿铭，上海市西南位育中学国际部</t>
        </is>
      </c>
      <c r="C200" s="22" t="inlineStr">
        <is>
          <t>书院</t>
        </is>
      </c>
      <c r="D200" s="21">
        <f>VLOOKUP(C200,journal_to_ledger!B:E,4,FALSE)</f>
        <v/>
      </c>
    </row>
    <row r="201">
      <c r="A201" s="21" t="n">
        <v>2022</v>
      </c>
      <c r="B201" s="22" t="inlineStr">
        <is>
          <t>王之茜 河北衡水复读学校毕业等待录取信息</t>
        </is>
      </c>
      <c r="C201" s="22" t="inlineStr">
        <is>
          <t>书院</t>
        </is>
      </c>
      <c r="D201" s="21">
        <f>VLOOKUP(C201,journal_to_ledger!B:E,4,FALSE)</f>
        <v/>
      </c>
    </row>
    <row r="202">
      <c r="A202" s="21" t="n">
        <v>2022</v>
      </c>
      <c r="B202" s="22" t="inlineStr">
        <is>
          <t>柳煦 深圳实验学校高中部</t>
        </is>
      </c>
      <c r="C202" s="22" t="inlineStr">
        <is>
          <t>书院</t>
        </is>
      </c>
      <c r="D202" s="21">
        <f>VLOOKUP(C202,journal_to_ledger!B:E,4,FALSE)</f>
        <v/>
      </c>
    </row>
    <row r="203">
      <c r="A203" s="21" t="n">
        <v>2022</v>
      </c>
      <c r="B203" s="22" t="inlineStr">
        <is>
          <t>武孟泽 Canterbury School</t>
        </is>
      </c>
      <c r="C203" s="22" t="inlineStr">
        <is>
          <t>书院</t>
        </is>
      </c>
      <c r="D203" s="21">
        <f>VLOOKUP(C203,journal_to_ledger!B:E,4,FALSE)</f>
        <v/>
      </c>
    </row>
    <row r="204">
      <c r="A204" s="21" t="n">
        <v>2022</v>
      </c>
      <c r="B204" s="22" t="inlineStr">
        <is>
          <t>吴甚枢 杭州外国语学校</t>
        </is>
      </c>
      <c r="C204" s="22" t="inlineStr">
        <is>
          <t>书院</t>
        </is>
      </c>
      <c r="D204" s="21">
        <f>VLOOKUP(C204,journal_to_ledger!B:E,4,FALSE)</f>
        <v/>
      </c>
    </row>
    <row r="205">
      <c r="A205" s="21" t="n">
        <v>2022</v>
      </c>
      <c r="B205" s="22" t="inlineStr">
        <is>
          <t>OL37 程佳慧</t>
        </is>
      </c>
      <c r="C205" s="22" t="inlineStr">
        <is>
          <t>OL</t>
        </is>
      </c>
      <c r="D205" s="21">
        <f>VLOOKUP(C205,journal_to_ledger!B:E,4,FALSE)</f>
        <v/>
      </c>
    </row>
    <row r="206">
      <c r="A206" s="21" t="n">
        <v>2022</v>
      </c>
      <c r="B206" s="22" t="inlineStr">
        <is>
          <t>胡珂宇 不列颠哥伦比亚大学</t>
        </is>
      </c>
      <c r="C206" s="22" t="inlineStr">
        <is>
          <t>书院</t>
        </is>
      </c>
      <c r="D206" s="21">
        <f>VLOOKUP(C206,journal_to_ledger!B:E,4,FALSE)</f>
        <v/>
      </c>
    </row>
    <row r="207">
      <c r="A207" s="21" t="n">
        <v>2022</v>
      </c>
      <c r="B207" s="22" t="inlineStr">
        <is>
          <t>CL37 姚苏桐</t>
        </is>
      </c>
      <c r="C207" s="22" t="inlineStr">
        <is>
          <t>OL</t>
        </is>
      </c>
      <c r="D207" s="21">
        <f>VLOOKUP(C207,journal_to_ledger!B:E,4,FALSE)</f>
        <v/>
      </c>
    </row>
    <row r="208">
      <c r="A208" s="21" t="n">
        <v>2022</v>
      </c>
      <c r="B208" s="22" t="inlineStr">
        <is>
          <t>OL37 曹逸凡</t>
        </is>
      </c>
      <c r="C208" s="22" t="inlineStr">
        <is>
          <t>OL</t>
        </is>
      </c>
      <c r="D208" s="21">
        <f>VLOOKUP(C208,journal_to_ledger!B:E,4,FALSE)</f>
        <v/>
      </c>
    </row>
    <row r="209">
      <c r="A209" s="21" t="n">
        <v>2022</v>
      </c>
      <c r="B209" s="22" t="inlineStr">
        <is>
          <t>OL37 龚滢滢</t>
        </is>
      </c>
      <c r="C209" s="22" t="inlineStr">
        <is>
          <t>OL</t>
        </is>
      </c>
      <c r="D209" s="21">
        <f>VLOOKUP(C209,journal_to_ledger!B:E,4,FALSE)</f>
        <v/>
      </c>
    </row>
    <row r="210">
      <c r="A210" s="21" t="n">
        <v>2022</v>
      </c>
      <c r="B210" s="22" t="inlineStr">
        <is>
          <t>李昱彤 中国传媒大学</t>
        </is>
      </c>
      <c r="C210" s="22" t="inlineStr">
        <is>
          <t>书院</t>
        </is>
      </c>
      <c r="D210" s="21">
        <f>VLOOKUP(C210,journal_to_ledger!B:E,4,FALSE)</f>
        <v/>
      </c>
    </row>
    <row r="211">
      <c r="A211" s="21" t="n">
        <v>2022</v>
      </c>
      <c r="B211" s="22" t="inlineStr">
        <is>
          <t>OL37 陈奕淩</t>
        </is>
      </c>
      <c r="C211" s="22" t="inlineStr">
        <is>
          <t>OL</t>
        </is>
      </c>
      <c r="D211" s="21">
        <f>VLOOKUP(C211,journal_to_ledger!B:E,4,FALSE)</f>
        <v/>
      </c>
    </row>
    <row r="212">
      <c r="A212" s="21" t="n">
        <v>2022</v>
      </c>
      <c r="B212" s="22" t="inlineStr">
        <is>
          <t>OL37学费与押金</t>
        </is>
      </c>
      <c r="C212" s="22" t="inlineStr">
        <is>
          <t>OL</t>
        </is>
      </c>
      <c r="D212" s="21">
        <f>VLOOKUP(C212,journal_to_ledger!B:E,4,FALSE)</f>
        <v/>
      </c>
    </row>
    <row r="213">
      <c r="A213" s="21" t="n">
        <v>2022</v>
      </c>
      <c r="B213" s="22" t="inlineStr">
        <is>
          <t>OL37+周可洋</t>
        </is>
      </c>
      <c r="C213" s="22" t="inlineStr">
        <is>
          <t>OL</t>
        </is>
      </c>
      <c r="D213" s="21">
        <f>VLOOKUP(C213,journal_to_ledger!B:E,4,FALSE)</f>
        <v/>
      </c>
    </row>
    <row r="214">
      <c r="A214" s="21" t="n">
        <v>2022</v>
      </c>
      <c r="B214" s="22" t="inlineStr">
        <is>
          <t>OL37+黄麒臻</t>
        </is>
      </c>
      <c r="C214" s="22" t="inlineStr">
        <is>
          <t>OL</t>
        </is>
      </c>
      <c r="D214" s="21">
        <f>VLOOKUP(C214,journal_to_ledger!B:E,4,FALSE)</f>
        <v/>
      </c>
    </row>
    <row r="215">
      <c r="A215" s="21" t="n">
        <v>2022</v>
      </c>
      <c r="B215" s="22" t="inlineStr">
        <is>
          <t>转录像课退款</t>
        </is>
      </c>
      <c r="C215" s="22" t="inlineStr">
        <is>
          <t>OL-N</t>
        </is>
      </c>
      <c r="D215" s="21">
        <f>VLOOKUP(C215,journal_to_ledger!B:E,4,FALSE)</f>
        <v/>
      </c>
    </row>
    <row r="216">
      <c r="A216" s="21" t="n">
        <v>2022</v>
      </c>
      <c r="B216" s="22" t="inlineStr">
        <is>
          <t>OL35录像 罗宇晟</t>
        </is>
      </c>
      <c r="C216" s="22" t="inlineStr">
        <is>
          <t>OL-N</t>
        </is>
      </c>
      <c r="D216" s="21">
        <f>VLOOKUP(C216,journal_to_ledger!B:E,4,FALSE)</f>
        <v/>
      </c>
    </row>
    <row r="217">
      <c r="A217" s="21" t="n">
        <v>2022</v>
      </c>
      <c r="B217" s="22" t="inlineStr">
        <is>
          <t>退款</t>
        </is>
      </c>
      <c r="C217" s="22" t="inlineStr">
        <is>
          <t>书院</t>
        </is>
      </c>
      <c r="D217" s="21">
        <f>VLOOKUP(C217,journal_to_ledger!B:E,4,FALSE)</f>
        <v/>
      </c>
    </row>
    <row r="218">
      <c r="A218" s="21" t="n">
        <v>2022</v>
      </c>
      <c r="B218" s="22" t="inlineStr">
        <is>
          <t>OL37+陈轩</t>
        </is>
      </c>
      <c r="C218" s="22" t="inlineStr">
        <is>
          <t>OL-N</t>
        </is>
      </c>
      <c r="D218" s="21">
        <f>VLOOKUP(C218,journal_to_ledger!B:E,4,FALSE)</f>
        <v/>
      </c>
    </row>
    <row r="219">
      <c r="A219" s="21" t="n">
        <v>2022</v>
      </c>
      <c r="B219" s="22" t="inlineStr">
        <is>
          <t>退款 希望下次见到你～</t>
        </is>
      </c>
      <c r="C219" s="22" t="inlineStr">
        <is>
          <t>书院</t>
        </is>
      </c>
      <c r="D219" s="21">
        <f>VLOOKUP(C219,journal_to_ledger!B:E,4,FALSE)</f>
        <v/>
      </c>
    </row>
    <row r="220">
      <c r="A220" s="21" t="n">
        <v>2022</v>
      </c>
      <c r="B220" s="22" t="inlineStr">
        <is>
          <t>OL38+袁涵晨</t>
        </is>
      </c>
      <c r="C220" s="22" t="inlineStr">
        <is>
          <t>OL</t>
        </is>
      </c>
      <c r="D220" s="21">
        <f>VLOOKUP(C220,journal_to_ledger!B:E,4,FALSE)</f>
        <v/>
      </c>
    </row>
    <row r="221">
      <c r="A221" s="21" t="n">
        <v>2022</v>
      </c>
      <c r="B221" s="22" t="inlineStr">
        <is>
          <t>OL38罗睿桐</t>
        </is>
      </c>
      <c r="C221" s="22" t="inlineStr">
        <is>
          <t>OL</t>
        </is>
      </c>
      <c r="D221" s="21">
        <f>VLOOKUP(C221,journal_to_ledger!B:E,4,FALSE)</f>
        <v/>
      </c>
    </row>
    <row r="222">
      <c r="A222" s="21" t="n">
        <v>2022</v>
      </c>
      <c r="B222" s="22" t="inlineStr">
        <is>
          <t>OL38 梁旭辉</t>
        </is>
      </c>
      <c r="C222" s="22" t="inlineStr">
        <is>
          <t>OL</t>
        </is>
      </c>
      <c r="D222" s="21">
        <f>VLOOKUP(C222,journal_to_ledger!B:E,4,FALSE)</f>
        <v/>
      </c>
    </row>
    <row r="223">
      <c r="A223" s="21" t="n">
        <v>2022</v>
      </c>
      <c r="B223" s="22" t="inlineStr">
        <is>
          <t>6月工资</t>
        </is>
      </c>
      <c r="C223" s="22" t="inlineStr">
        <is>
          <t>工资</t>
        </is>
      </c>
      <c r="D223" s="21">
        <f>VLOOKUP(C223,journal_to_ledger!B:E,4,FALSE)</f>
        <v/>
      </c>
    </row>
    <row r="224">
      <c r="A224" s="21" t="n">
        <v>2022</v>
      </c>
      <c r="B224" s="22" t="inlineStr">
        <is>
          <t>补5月工资</t>
        </is>
      </c>
      <c r="C224" s="22" t="inlineStr">
        <is>
          <t>工资</t>
        </is>
      </c>
      <c r="D224" s="21">
        <f>VLOOKUP(C224,journal_to_ledger!B:E,4,FALSE)</f>
        <v/>
      </c>
    </row>
    <row r="225">
      <c r="A225" s="21" t="n">
        <v>2022</v>
      </c>
      <c r="B225" s="22" t="inlineStr">
        <is>
          <t>ol38退款，期待你的再次参与～</t>
        </is>
      </c>
      <c r="C225" s="22" t="inlineStr">
        <is>
          <t>OL</t>
        </is>
      </c>
      <c r="D225" s="21">
        <f>VLOOKUP(C225,journal_to_ledger!B:E,4,FALSE)</f>
        <v/>
      </c>
    </row>
    <row r="226">
      <c r="A226" s="21" t="n">
        <v>2022</v>
      </c>
      <c r="B226" s="22" t="inlineStr">
        <is>
          <t>第三期专题研讨屋会议转写报销</t>
        </is>
      </c>
      <c r="C226" s="22" t="inlineStr">
        <is>
          <t>报销</t>
        </is>
      </c>
      <c r="D226" s="21">
        <f>VLOOKUP(C226,journal_to_ledger!B:E,4,FALSE)</f>
        <v/>
      </c>
    </row>
    <row r="227">
      <c r="A227" s="21" t="n">
        <v>2022</v>
      </c>
      <c r="B227" s="22" t="inlineStr">
        <is>
          <t>麦客表单访问报销</t>
        </is>
      </c>
      <c r="C227" s="22" t="inlineStr">
        <is>
          <t>报销</t>
        </is>
      </c>
      <c r="D227" s="21">
        <f>VLOOKUP(C227,journal_to_ledger!B:E,4,FALSE)</f>
        <v/>
      </c>
    </row>
    <row r="228">
      <c r="A228" s="21" t="n">
        <v>2022</v>
      </c>
      <c r="B228" s="22" t="inlineStr">
        <is>
          <t>微博年费会员报销</t>
        </is>
      </c>
      <c r="C228" s="22" t="inlineStr">
        <is>
          <t>报销</t>
        </is>
      </c>
      <c r="D228" s="21">
        <f>VLOOKUP(C228,journal_to_ledger!B:E,4,FALSE)</f>
        <v/>
      </c>
    </row>
    <row r="229">
      <c r="A229" s="21" t="n">
        <v>2022</v>
      </c>
      <c r="B229" s="22" t="inlineStr">
        <is>
          <t>讯飞转写报销</t>
        </is>
      </c>
      <c r="C229" s="22" t="inlineStr">
        <is>
          <t>报销</t>
        </is>
      </c>
      <c r="D229" s="21">
        <f>VLOOKUP(C229,journal_to_ledger!B:E,4,FALSE)</f>
        <v/>
      </c>
    </row>
    <row r="230">
      <c r="A230" s="21" t="n">
        <v>2022</v>
      </c>
      <c r="B230" s="22" t="inlineStr">
        <is>
          <t>购买专题研讨屋回馈报销</t>
        </is>
      </c>
      <c r="C230" s="22" t="inlineStr">
        <is>
          <t>报销</t>
        </is>
      </c>
      <c r="D230" s="21">
        <f>VLOOKUP(C230,journal_to_ledger!B:E,4,FALSE)</f>
        <v/>
      </c>
    </row>
    <row r="231">
      <c r="A231" s="21" t="n">
        <v>2022</v>
      </c>
      <c r="B231" s="22" t="inlineStr">
        <is>
          <t>线上课程ol35转写报销</t>
        </is>
      </c>
      <c r="C231" s="22" t="inlineStr">
        <is>
          <t>报销</t>
        </is>
      </c>
      <c r="D231" s="21">
        <f>VLOOKUP(C231,journal_to_ledger!B:E,4,FALSE)</f>
        <v/>
      </c>
    </row>
    <row r="232">
      <c r="A232" s="21" t="n">
        <v>2022</v>
      </c>
      <c r="B232" s="22" t="inlineStr">
        <is>
          <t>亚马逊礼品卡报销</t>
        </is>
      </c>
      <c r="C232" s="22" t="inlineStr">
        <is>
          <t>报销</t>
        </is>
      </c>
      <c r="D232" s="21">
        <f>VLOOKUP(C232,journal_to_ledger!B:E,4,FALSE)</f>
        <v/>
      </c>
    </row>
    <row r="233">
      <c r="A233" s="21" t="n">
        <v>2022</v>
      </c>
      <c r="B233" s="22" t="inlineStr">
        <is>
          <t>第五期转写</t>
        </is>
      </c>
      <c r="C233" s="22" t="inlineStr">
        <is>
          <t>报销</t>
        </is>
      </c>
      <c r="D233" s="21">
        <f>VLOOKUP(C233,journal_to_ledger!B:E,4,FALSE)</f>
        <v/>
      </c>
    </row>
    <row r="234">
      <c r="A234" s="21" t="n">
        <v>2022</v>
      </c>
      <c r="B234" s="22" t="inlineStr">
        <is>
          <t>唯理书院活动，感谢参与</t>
        </is>
      </c>
      <c r="C234" s="22" t="inlineStr">
        <is>
          <t>书院</t>
        </is>
      </c>
      <c r="D234" s="21">
        <f>VLOOKUP(C234,journal_to_ledger!B:E,4,FALSE)</f>
        <v/>
      </c>
    </row>
    <row r="235">
      <c r="A235" s="21" t="n">
        <v>2022</v>
      </c>
      <c r="B235" s="22" t="inlineStr">
        <is>
          <t>OL35+录像+田雨卉</t>
        </is>
      </c>
      <c r="C235" s="22" t="inlineStr">
        <is>
          <t>OL-N</t>
        </is>
      </c>
      <c r="D235" s="21">
        <f>VLOOKUP(C235,journal_to_ledger!B:E,4,FALSE)</f>
        <v/>
      </c>
    </row>
    <row r="236">
      <c r="A236" s="21" t="n">
        <v>2022</v>
      </c>
      <c r="B236" s="22" t="inlineStr">
        <is>
          <t>ol39 李禹佳</t>
        </is>
      </c>
      <c r="C236" s="22" t="inlineStr">
        <is>
          <t>OL</t>
        </is>
      </c>
      <c r="D236" s="21">
        <f>VLOOKUP(C236,journal_to_ledger!B:E,4,FALSE)</f>
        <v/>
      </c>
    </row>
    <row r="237">
      <c r="A237" s="21" t="n">
        <v>2022</v>
      </c>
      <c r="B237" s="22" t="inlineStr">
        <is>
          <t>OL39喻瑶</t>
        </is>
      </c>
      <c r="C237" s="22" t="inlineStr">
        <is>
          <t>OL</t>
        </is>
      </c>
      <c r="D237" s="21">
        <f>VLOOKUP(C237,journal_to_ledger!B:E,4,FALSE)</f>
        <v/>
      </c>
    </row>
    <row r="238">
      <c r="A238" s="21" t="n">
        <v>2022</v>
      </c>
      <c r="B238" s="22" t="inlineStr">
        <is>
          <t>OL39 王蒙</t>
        </is>
      </c>
      <c r="C238" s="22" t="inlineStr">
        <is>
          <t>OL</t>
        </is>
      </c>
      <c r="D238" s="21">
        <f>VLOOKUP(C238,journal_to_ledger!B:E,4,FALSE)</f>
        <v/>
      </c>
    </row>
    <row r="239">
      <c r="A239" s="21" t="n">
        <v>2022</v>
      </c>
      <c r="B239" s="22" t="inlineStr">
        <is>
          <t>OL39+任梦欣</t>
        </is>
      </c>
      <c r="C239" s="22" t="inlineStr">
        <is>
          <t>OL</t>
        </is>
      </c>
      <c r="D239" s="21">
        <f>VLOOKUP(C239,journal_to_ledger!B:E,4,FALSE)</f>
        <v/>
      </c>
    </row>
    <row r="240">
      <c r="A240" s="21" t="n">
        <v>2022</v>
      </c>
      <c r="B240" s="22" t="inlineStr">
        <is>
          <t>OL39杨静悠</t>
        </is>
      </c>
      <c r="C240" s="22" t="inlineStr">
        <is>
          <t>OL</t>
        </is>
      </c>
      <c r="D240" s="21">
        <f>VLOOKUP(C240,journal_to_ledger!B:E,4,FALSE)</f>
        <v/>
      </c>
    </row>
    <row r="241">
      <c r="A241" s="21" t="n">
        <v>2022</v>
      </c>
      <c r="B241" s="22" t="inlineStr">
        <is>
          <t>OL 39 周楚昀</t>
        </is>
      </c>
      <c r="C241" s="22" t="inlineStr">
        <is>
          <t>OL</t>
        </is>
      </c>
      <c r="D241" s="21">
        <f>VLOOKUP(C241,journal_to_ledger!B:E,4,FALSE)</f>
        <v/>
      </c>
    </row>
    <row r="242">
      <c r="A242" s="21" t="n">
        <v>2022</v>
      </c>
      <c r="B242" s="22" t="inlineStr">
        <is>
          <t>OL39+田雨卉（抱歉前几天没有查看邮箱）</t>
        </is>
      </c>
      <c r="C242" s="22" t="inlineStr">
        <is>
          <t>OL</t>
        </is>
      </c>
      <c r="D242" s="21">
        <f>VLOOKUP(C242,journal_to_ledger!B:E,4,FALSE)</f>
        <v/>
      </c>
    </row>
    <row r="243">
      <c r="A243" s="21" t="n">
        <v>2022</v>
      </c>
      <c r="B243" s="22" t="inlineStr">
        <is>
          <t>OL41+阮琦玲</t>
        </is>
      </c>
      <c r="C243" s="22" t="inlineStr">
        <is>
          <t>OL</t>
        </is>
      </c>
      <c r="D243" s="21">
        <f>VLOOKUP(C243,journal_to_ledger!B:E,4,FALSE)</f>
        <v/>
      </c>
    </row>
    <row r="244">
      <c r="A244" s="21" t="n">
        <v>2022</v>
      </c>
      <c r="B244" s="22" t="inlineStr">
        <is>
          <t>OL41+蒯越</t>
        </is>
      </c>
      <c r="C244" s="22" t="inlineStr">
        <is>
          <t>OL</t>
        </is>
      </c>
      <c r="D244" s="21">
        <f>VLOOKUP(C244,journal_to_ledger!B:E,4,FALSE)</f>
        <v/>
      </c>
    </row>
    <row r="245">
      <c r="A245" s="21" t="n">
        <v>2022</v>
      </c>
      <c r="B245" s="22" t="inlineStr">
        <is>
          <t>物料预付</t>
        </is>
      </c>
      <c r="C245" s="22" t="inlineStr">
        <is>
          <t>报销</t>
        </is>
      </c>
      <c r="D245" s="21">
        <f>VLOOKUP(C245,journal_to_ledger!B:E,4,FALSE)</f>
        <v/>
      </c>
    </row>
    <row r="246">
      <c r="A246" s="21" t="n">
        <v>2022</v>
      </c>
      <c r="B246" s="22" t="inlineStr">
        <is>
          <t>OL40 李佳宝</t>
        </is>
      </c>
      <c r="C246" s="22" t="inlineStr">
        <is>
          <t>OL</t>
        </is>
      </c>
      <c r="D246" s="21">
        <f>VLOOKUP(C246,journal_to_ledger!B:E,4,FALSE)</f>
        <v/>
      </c>
    </row>
    <row r="247">
      <c r="A247" s="21" t="n">
        <v>2022</v>
      </c>
      <c r="B247" s="22" t="inlineStr">
        <is>
          <t>OL40+张馨予</t>
        </is>
      </c>
      <c r="C247" s="22" t="inlineStr">
        <is>
          <t>OL</t>
        </is>
      </c>
      <c r="D247" s="21">
        <f>VLOOKUP(C247,journal_to_ledger!B:E,4,FALSE)</f>
        <v/>
      </c>
    </row>
    <row r="248">
      <c r="A248" s="21" t="n">
        <v>2022</v>
      </c>
      <c r="B248" s="22" t="inlineStr">
        <is>
          <t>OL40 薛友酉</t>
        </is>
      </c>
      <c r="C248" s="22" t="inlineStr">
        <is>
          <t>OL</t>
        </is>
      </c>
      <c r="D248" s="21">
        <f>VLOOKUP(C248,journal_to_ledger!B:E,4,FALSE)</f>
        <v/>
      </c>
    </row>
    <row r="249">
      <c r="A249" s="21" t="n">
        <v>2022</v>
      </c>
      <c r="B249" s="22" t="inlineStr">
        <is>
          <t>OL41 陈欣悦</t>
        </is>
      </c>
      <c r="C249" s="22" t="inlineStr">
        <is>
          <t>OL</t>
        </is>
      </c>
      <c r="D249" s="21">
        <f>VLOOKUP(C249,journal_to_ledger!B:E,4,FALSE)</f>
        <v/>
      </c>
    </row>
    <row r="250">
      <c r="A250" s="21" t="n">
        <v>2022</v>
      </c>
      <c r="B250" s="22" t="inlineStr">
        <is>
          <t>OL41录播+程佳慧</t>
        </is>
      </c>
      <c r="C250" s="22" t="inlineStr">
        <is>
          <t>OL-N</t>
        </is>
      </c>
      <c r="D250" s="21">
        <f>VLOOKUP(C250,journal_to_ledger!B:E,4,FALSE)</f>
        <v/>
      </c>
    </row>
    <row r="251">
      <c r="A251" s="21" t="n">
        <v>2022</v>
      </c>
      <c r="B251" s="22" t="inlineStr">
        <is>
          <t>郑朴+OL40课程</t>
        </is>
      </c>
      <c r="C251" s="22" t="inlineStr">
        <is>
          <t>OL</t>
        </is>
      </c>
      <c r="D251" s="21">
        <f>VLOOKUP(C251,journal_to_ledger!B:E,4,FALSE)</f>
        <v/>
      </c>
    </row>
    <row r="252">
      <c r="A252" s="21" t="n">
        <v>2022</v>
      </c>
      <c r="B252" s="22" t="inlineStr">
        <is>
          <t>OL40+程佳慧</t>
        </is>
      </c>
      <c r="C252" s="22" t="inlineStr">
        <is>
          <t>OL</t>
        </is>
      </c>
      <c r="D252" s="21">
        <f>VLOOKUP(C252,journal_to_ledger!B:E,4,FALSE)</f>
        <v/>
      </c>
    </row>
    <row r="253">
      <c r="A253" s="21" t="n">
        <v>2022</v>
      </c>
      <c r="B253" s="22" t="inlineStr">
        <is>
          <t>OL41袁凡淇</t>
        </is>
      </c>
      <c r="C253" s="22" t="inlineStr">
        <is>
          <t>OL</t>
        </is>
      </c>
      <c r="D253" s="21">
        <f>VLOOKUP(C253,journal_to_ledger!B:E,4,FALSE)</f>
        <v/>
      </c>
    </row>
    <row r="254">
      <c r="A254" s="21" t="n">
        <v>2022</v>
      </c>
      <c r="B254" s="22" t="inlineStr">
        <is>
          <t>书院工资</t>
        </is>
      </c>
      <c r="C254" s="22" t="inlineStr">
        <is>
          <t>工资</t>
        </is>
      </c>
      <c r="D254" s="21">
        <f>VLOOKUP(C254,journal_to_ledger!B:E,4,FALSE)</f>
        <v/>
      </c>
    </row>
    <row r="255">
      <c r="A255" s="21" t="n">
        <v>2022</v>
      </c>
      <c r="B255" s="22" t="inlineStr">
        <is>
          <t>OL41谢沙岑</t>
        </is>
      </c>
      <c r="C255" s="22" t="inlineStr">
        <is>
          <t>OL</t>
        </is>
      </c>
      <c r="D255" s="21">
        <f>VLOOKUP(C255,journal_to_ledger!B:E,4,FALSE)</f>
        <v/>
      </c>
    </row>
    <row r="256">
      <c r="A256" s="21" t="n">
        <v>2022</v>
      </c>
      <c r="B256" s="22" t="inlineStr">
        <is>
          <t>OL40+徐闻悦</t>
        </is>
      </c>
      <c r="C256" s="22" t="inlineStr">
        <is>
          <t>OL</t>
        </is>
      </c>
      <c r="D256" s="21">
        <f>VLOOKUP(C256,journal_to_ledger!B:E,4,FALSE)</f>
        <v/>
      </c>
    </row>
    <row r="257">
      <c r="A257" s="21" t="n">
        <v>2022</v>
      </c>
      <c r="B257" s="22" t="inlineStr">
        <is>
          <t>OL40李可悦</t>
        </is>
      </c>
      <c r="C257" s="22" t="inlineStr">
        <is>
          <t>OL</t>
        </is>
      </c>
      <c r="D257" s="21">
        <f>VLOOKUP(C257,journal_to_ledger!B:E,4,FALSE)</f>
        <v/>
      </c>
    </row>
    <row r="258">
      <c r="A258" s="21" t="n">
        <v>2022</v>
      </c>
      <c r="B258" s="22" t="inlineStr">
        <is>
          <t>徐玮鸿 OL40 费用</t>
        </is>
      </c>
      <c r="C258" s="22" t="inlineStr">
        <is>
          <t>OL</t>
        </is>
      </c>
      <c r="D258" s="21">
        <f>VLOOKUP(C258,journal_to_ledger!B:E,4,FALSE)</f>
        <v/>
      </c>
    </row>
    <row r="259">
      <c r="A259" s="21" t="n">
        <v>2022</v>
      </c>
      <c r="B259" s="22" t="inlineStr">
        <is>
          <t>OL40黎宝怡</t>
        </is>
      </c>
      <c r="C259" s="22" t="inlineStr">
        <is>
          <t>OL</t>
        </is>
      </c>
      <c r="D259" s="21">
        <f>VLOOKUP(C259,journal_to_ledger!B:E,4,FALSE)</f>
        <v/>
      </c>
    </row>
    <row r="260">
      <c r="A260" s="21" t="n">
        <v>2022</v>
      </c>
      <c r="B260" s="22" t="inlineStr">
        <is>
          <t>OL40 马歆竺 （TA代转）</t>
        </is>
      </c>
      <c r="C260" s="22" t="inlineStr">
        <is>
          <t>OL</t>
        </is>
      </c>
      <c r="D260" s="21">
        <f>VLOOKUP(C260,journal_to_ledger!B:E,4,FALSE)</f>
        <v/>
      </c>
    </row>
    <row r="261">
      <c r="A261" s="21" t="n">
        <v>2022</v>
      </c>
      <c r="B261" s="22" t="inlineStr">
        <is>
          <t>OL40 郑越</t>
        </is>
      </c>
      <c r="C261" s="22" t="inlineStr">
        <is>
          <t>OL</t>
        </is>
      </c>
      <c r="D261" s="21">
        <f>VLOOKUP(C261,journal_to_ledger!B:E,4,FALSE)</f>
        <v/>
      </c>
    </row>
    <row r="262">
      <c r="A262" s="21" t="n">
        <v>2022</v>
      </c>
      <c r="B262" s="22" t="inlineStr">
        <is>
          <t>OL40许扬扬</t>
        </is>
      </c>
      <c r="C262" s="22" t="inlineStr">
        <is>
          <t>OL</t>
        </is>
      </c>
      <c r="D262" s="21">
        <f>VLOOKUP(C262,journal_to_ledger!B:E,4,FALSE)</f>
        <v/>
      </c>
    </row>
    <row r="263">
      <c r="A263" s="21" t="n">
        <v>2022</v>
      </c>
      <c r="B263" s="22" t="inlineStr">
        <is>
          <t>OL41录播 大绿鹅</t>
        </is>
      </c>
      <c r="C263" s="22" t="inlineStr">
        <is>
          <t>OL-N</t>
        </is>
      </c>
      <c r="D263" s="21">
        <f>VLOOKUP(C263,journal_to_ledger!B:E,4,FALSE)</f>
        <v/>
      </c>
    </row>
    <row r="264">
      <c r="A264" s="21" t="n">
        <v>2022</v>
      </c>
      <c r="B264" s="22" t="inlineStr">
        <is>
          <t>感谢参与书院活动日</t>
        </is>
      </c>
      <c r="C264" s="22" t="inlineStr">
        <is>
          <t>书院</t>
        </is>
      </c>
      <c r="D264" s="21">
        <f>VLOOKUP(C264,journal_to_ledger!B:E,4,FALSE)</f>
        <v/>
      </c>
    </row>
    <row r="265">
      <c r="A265" s="21" t="n">
        <v>2022</v>
      </c>
      <c r="B265" s="22" t="inlineStr">
        <is>
          <t>唯理书院讲师，感谢参与</t>
        </is>
      </c>
      <c r="C265" s="22" t="inlineStr">
        <is>
          <t>书院</t>
        </is>
      </c>
      <c r="D265" s="21">
        <f>VLOOKUP(C265,journal_to_ledger!B:E,4,FALSE)</f>
        <v/>
      </c>
    </row>
    <row r="266">
      <c r="A266" s="21" t="n">
        <v>2022</v>
      </c>
      <c r="B266" s="22" t="inlineStr">
        <is>
          <t>唯理书院讲师 感谢参与</t>
        </is>
      </c>
      <c r="C266" s="22" t="inlineStr">
        <is>
          <t>书院</t>
        </is>
      </c>
      <c r="D266" s="21">
        <f>VLOOKUP(C266,journal_to_ledger!B:E,4,FALSE)</f>
        <v/>
      </c>
    </row>
    <row r="267">
      <c r="A267" s="21" t="n">
        <v>2022</v>
      </c>
      <c r="B267" s="22" t="inlineStr">
        <is>
          <t>物资贴纸 报销</t>
        </is>
      </c>
      <c r="C267" s="22" t="inlineStr">
        <is>
          <t>报销</t>
        </is>
      </c>
      <c r="D267" s="21">
        <f>VLOOKUP(C267,journal_to_ledger!B:E,4,FALSE)</f>
        <v/>
      </c>
    </row>
    <row r="268">
      <c r="A268" s="21" t="n">
        <v>2022</v>
      </c>
      <c r="B268" s="22" t="inlineStr">
        <is>
          <t>物资明信片报销</t>
        </is>
      </c>
      <c r="C268" s="22" t="inlineStr">
        <is>
          <t>报销</t>
        </is>
      </c>
      <c r="D268" s="21">
        <f>VLOOKUP(C268,journal_to_ledger!B:E,4,FALSE)</f>
        <v/>
      </c>
    </row>
    <row r="269">
      <c r="A269" s="21" t="n">
        <v>2022</v>
      </c>
      <c r="B269" s="22" t="inlineStr">
        <is>
          <t>材料费报销</t>
        </is>
      </c>
      <c r="C269" s="22" t="inlineStr">
        <is>
          <t>报销</t>
        </is>
      </c>
      <c r="D269" s="21">
        <f>VLOOKUP(C269,journal_to_ledger!B:E,4,FALSE)</f>
        <v/>
      </c>
    </row>
    <row r="270">
      <c r="A270" s="21" t="n">
        <v>2022</v>
      </c>
      <c r="B270" s="22" t="inlineStr">
        <is>
          <t>OL39+王思易</t>
        </is>
      </c>
      <c r="C270" s="22" t="inlineStr">
        <is>
          <t>OL</t>
        </is>
      </c>
      <c r="D270" s="21">
        <f>VLOOKUP(C270,journal_to_ledger!B:E,4,FALSE)</f>
        <v/>
      </c>
    </row>
    <row r="271">
      <c r="A271" s="21" t="n">
        <v>2022</v>
      </c>
      <c r="B271" s="22" t="inlineStr">
        <is>
          <t>ol35押金，感谢参与～</t>
        </is>
      </c>
      <c r="C271" s="22" t="inlineStr">
        <is>
          <t>OL-D</t>
        </is>
      </c>
      <c r="D271" s="21">
        <f>VLOOKUP(C271,journal_to_ledger!B:E,4,FALSE)</f>
        <v/>
      </c>
    </row>
    <row r="272">
      <c r="A272" s="21" t="n">
        <v>2022</v>
      </c>
      <c r="B272" s="22" t="n"/>
      <c r="C272" s="25" t="inlineStr">
        <is>
          <t>OL</t>
        </is>
      </c>
      <c r="D272" s="21">
        <f>VLOOKUP(C272,journal_to_ledger!B:E,4,FALSE)</f>
        <v/>
      </c>
    </row>
    <row r="273">
      <c r="A273" s="21" t="n">
        <v>2022</v>
      </c>
      <c r="B273" s="22" t="inlineStr">
        <is>
          <t>ol35讲师工资</t>
        </is>
      </c>
      <c r="C273" s="22" t="inlineStr">
        <is>
          <t>OL</t>
        </is>
      </c>
      <c r="D273" s="21">
        <f>VLOOKUP(C273,journal_to_ledger!B:E,4,FALSE)</f>
        <v/>
      </c>
    </row>
    <row r="274">
      <c r="A274" s="21" t="n">
        <v>2022</v>
      </c>
      <c r="B274" s="22" t="inlineStr">
        <is>
          <t>OL42-陆然诚</t>
        </is>
      </c>
      <c r="C274" s="22" t="inlineStr">
        <is>
          <t>OL</t>
        </is>
      </c>
      <c r="D274" s="21">
        <f>VLOOKUP(C274,journal_to_ledger!B:E,4,FALSE)</f>
        <v/>
      </c>
    </row>
    <row r="275">
      <c r="A275" s="21" t="n">
        <v>2022</v>
      </c>
      <c r="B275" s="22" t="inlineStr">
        <is>
          <t>Ol42 高肖峰</t>
        </is>
      </c>
      <c r="C275" s="22" t="inlineStr">
        <is>
          <t>OL</t>
        </is>
      </c>
      <c r="D275" s="21">
        <f>VLOOKUP(C275,journal_to_ledger!B:E,4,FALSE)</f>
        <v/>
      </c>
    </row>
    <row r="276">
      <c r="A276" s="21" t="n">
        <v>2022</v>
      </c>
      <c r="B276" s="22" t="inlineStr">
        <is>
          <t>OL42+陈轩</t>
        </is>
      </c>
      <c r="C276" s="22" t="inlineStr">
        <is>
          <t>OL</t>
        </is>
      </c>
      <c r="D276" s="21">
        <f>VLOOKUP(C276,journal_to_ledger!B:E,4,FALSE)</f>
        <v/>
      </c>
    </row>
    <row r="277">
      <c r="A277" s="21" t="n">
        <v>2022</v>
      </c>
      <c r="B277" s="22" t="inlineStr">
        <is>
          <t>陈义佳 1192380690@qq.com 线上课程学费及押金</t>
        </is>
      </c>
      <c r="C277" s="22" t="inlineStr">
        <is>
          <t>OL</t>
        </is>
      </c>
      <c r="D277" s="21">
        <f>VLOOKUP(C277,journal_to_ledger!B:E,4,FALSE)</f>
        <v/>
      </c>
    </row>
    <row r="278">
      <c r="A278" s="21" t="n">
        <v>2022</v>
      </c>
      <c r="B278" s="22" t="inlineStr">
        <is>
          <t>OL42郑凯文</t>
        </is>
      </c>
      <c r="C278" s="22" t="inlineStr">
        <is>
          <t>OL</t>
        </is>
      </c>
      <c r="D278" s="21">
        <f>VLOOKUP(C278,journal_to_ledger!B:E,4,FALSE)</f>
        <v/>
      </c>
    </row>
    <row r="279">
      <c r="A279" s="21" t="n">
        <v>2022</v>
      </c>
      <c r="B279" s="22" t="inlineStr">
        <is>
          <t>OL42+程佳慧</t>
        </is>
      </c>
      <c r="C279" s="22" t="inlineStr">
        <is>
          <t>OL</t>
        </is>
      </c>
      <c r="D279" s="21">
        <f>VLOOKUP(C279,journal_to_ledger!B:E,4,FALSE)</f>
        <v/>
      </c>
    </row>
    <row r="280">
      <c r="A280" s="21" t="n">
        <v>2022</v>
      </c>
      <c r="B280" s="22" t="inlineStr">
        <is>
          <t>罐头 OL42：法西斯主义研究</t>
        </is>
      </c>
      <c r="C280" s="22" t="inlineStr">
        <is>
          <t>OL</t>
        </is>
      </c>
      <c r="D280" s="21">
        <f>VLOOKUP(C280,journal_to_ledger!B:E,4,FALSE)</f>
        <v/>
      </c>
    </row>
    <row r="281">
      <c r="A281" s="21" t="n">
        <v>2022</v>
      </c>
      <c r="B281" s="22" t="inlineStr">
        <is>
          <t>OL42 张凯琳课程费+押金</t>
        </is>
      </c>
      <c r="C281" s="22" t="inlineStr">
        <is>
          <t>OL</t>
        </is>
      </c>
      <c r="D281" s="21">
        <f>VLOOKUP(C281,journal_to_ledger!B:E,4,FALSE)</f>
        <v/>
      </c>
    </row>
    <row r="282">
      <c r="A282" s="21" t="n">
        <v>2022</v>
      </c>
      <c r="B282" s="22" t="inlineStr">
        <is>
          <t>OL42 陈祯民</t>
        </is>
      </c>
      <c r="C282" s="22" t="inlineStr">
        <is>
          <t>OL</t>
        </is>
      </c>
      <c r="D282" s="21">
        <f>VLOOKUP(C282,journal_to_ledger!B:E,4,FALSE)</f>
        <v/>
      </c>
    </row>
    <row r="283">
      <c r="A283" s="21" t="n">
        <v>2022</v>
      </c>
      <c r="B283" s="22" t="inlineStr">
        <is>
          <t>书院coteach工资 谢谢参与～</t>
        </is>
      </c>
      <c r="C283" s="22" t="inlineStr">
        <is>
          <t>书院</t>
        </is>
      </c>
      <c r="D283" s="21">
        <f>VLOOKUP(C283,journal_to_ledger!B:E,4,FALSE)</f>
        <v/>
      </c>
    </row>
    <row r="284">
      <c r="A284" s="21" t="n">
        <v>2022</v>
      </c>
      <c r="B284" s="22" t="inlineStr">
        <is>
          <t>书院coteach工资 感谢参与～</t>
        </is>
      </c>
      <c r="C284" s="22" t="inlineStr">
        <is>
          <t>书院</t>
        </is>
      </c>
      <c r="D284" s="21">
        <f>VLOOKUP(C284,journal_to_ledger!B:E,4,FALSE)</f>
        <v/>
      </c>
    </row>
    <row r="285">
      <c r="A285" s="21" t="n">
        <v>2022</v>
      </c>
      <c r="B285" s="22" t="inlineStr">
        <is>
          <t>书院coteach工资</t>
        </is>
      </c>
      <c r="C285" s="22" t="inlineStr">
        <is>
          <t>书院</t>
        </is>
      </c>
      <c r="D285" s="21">
        <f>VLOOKUP(C285,journal_to_ledger!B:E,4,FALSE)</f>
        <v/>
      </c>
    </row>
    <row r="286">
      <c r="A286" s="21" t="n">
        <v>2022</v>
      </c>
      <c r="B286" s="22" t="n"/>
      <c r="C286" s="22" t="inlineStr">
        <is>
          <t>书院</t>
        </is>
      </c>
      <c r="D286" s="21">
        <f>VLOOKUP(C286,journal_to_ledger!B:E,4,FALSE)</f>
        <v/>
      </c>
    </row>
    <row r="287">
      <c r="A287" s="21" t="n">
        <v>2022</v>
      </c>
      <c r="B287" s="22" t="inlineStr">
        <is>
          <t>服务费[20220822200040011100020006326332]</t>
        </is>
      </c>
      <c r="C287" s="22" t="inlineStr">
        <is>
          <t>支付宝服务费</t>
        </is>
      </c>
      <c r="D287" s="21">
        <f>VLOOKUP(C287,journal_to_ledger!B:E,4,FALSE)</f>
        <v/>
      </c>
    </row>
    <row r="288">
      <c r="A288" s="21" t="n">
        <v>2022</v>
      </c>
      <c r="B288" s="22" t="inlineStr">
        <is>
          <t>书院参与证明报销</t>
        </is>
      </c>
      <c r="C288" s="22" t="inlineStr">
        <is>
          <t>书院</t>
        </is>
      </c>
      <c r="D288" s="21">
        <f>VLOOKUP(C288,journal_to_ledger!B:E,4,FALSE)</f>
        <v/>
      </c>
    </row>
    <row r="289">
      <c r="A289" s="21" t="n">
        <v>2022</v>
      </c>
      <c r="B289" s="22" t="inlineStr">
        <is>
          <t>多项订阅费用报销</t>
        </is>
      </c>
      <c r="C289" s="22" t="inlineStr">
        <is>
          <t>报销</t>
        </is>
      </c>
      <c r="D289" s="21">
        <f>VLOOKUP(C289,journal_to_ledger!B:E,4,FALSE)</f>
        <v/>
      </c>
    </row>
    <row r="290">
      <c r="A290" s="21" t="n">
        <v>2022</v>
      </c>
      <c r="B290" s="22" t="inlineStr">
        <is>
          <t>您好，这是我的课程费用与押金。</t>
        </is>
      </c>
      <c r="C290" s="22" t="inlineStr">
        <is>
          <t>OL</t>
        </is>
      </c>
      <c r="D290" s="21">
        <f>VLOOKUP(C290,journal_to_ledger!B:E,4,FALSE)</f>
        <v/>
      </c>
    </row>
    <row r="291">
      <c r="A291" s="21" t="n">
        <v>2022</v>
      </c>
      <c r="B291" s="22" t="inlineStr">
        <is>
          <t>转账</t>
        </is>
      </c>
      <c r="C291" s="22" t="inlineStr">
        <is>
          <t>OL-N</t>
        </is>
      </c>
      <c r="D291" s="21">
        <f>VLOOKUP(C291,journal_to_ledger!B:E,4,FALSE)</f>
        <v/>
      </c>
    </row>
    <row r="292">
      <c r="A292" s="21" t="n">
        <v>2022</v>
      </c>
      <c r="B292" s="22" t="inlineStr">
        <is>
          <t>退还押金，希望下次见到你～</t>
        </is>
      </c>
      <c r="C292" s="22" t="inlineStr">
        <is>
          <t>OL-D</t>
        </is>
      </c>
      <c r="D292" s="21">
        <f>VLOOKUP(C292,journal_to_ledger!B:E,4,FALSE)</f>
        <v/>
      </c>
    </row>
    <row r="293">
      <c r="A293" s="21" t="n">
        <v>2022</v>
      </c>
      <c r="B293" s="22" t="inlineStr">
        <is>
          <t>线上课程退款，希望下次见到你～</t>
        </is>
      </c>
      <c r="C293" s="22" t="inlineStr">
        <is>
          <t>OL</t>
        </is>
      </c>
      <c r="D293" s="21">
        <f>VLOOKUP(C293,journal_to_ledger!B:E,4,FALSE)</f>
        <v/>
      </c>
    </row>
    <row r="294">
      <c r="A294" s="21" t="n">
        <v>2022</v>
      </c>
      <c r="B294" s="22" t="inlineStr">
        <is>
          <t>ol36押金，感谢参与～</t>
        </is>
      </c>
      <c r="C294" s="22" t="inlineStr">
        <is>
          <t>OL-D</t>
        </is>
      </c>
      <c r="D294" s="21">
        <f>VLOOKUP(C294,journal_to_ledger!B:E,4,FALSE)</f>
        <v/>
      </c>
    </row>
    <row r="295">
      <c r="A295" s="21" t="n">
        <v>2022</v>
      </c>
      <c r="B295" s="22" t="inlineStr">
        <is>
          <t>新闻实验室订阅</t>
        </is>
      </c>
      <c r="C295" s="22" t="inlineStr">
        <is>
          <t>运营</t>
        </is>
      </c>
      <c r="D295" s="21">
        <f>VLOOKUP(C295,journal_to_ledger!B:E,4,FALSE)</f>
        <v/>
      </c>
    </row>
    <row r="296">
      <c r="A296" s="21" t="n">
        <v>2022</v>
      </c>
      <c r="B296" s="22" t="inlineStr">
        <is>
          <t>讲师工资，感谢～</t>
        </is>
      </c>
      <c r="C296" s="22" t="inlineStr">
        <is>
          <t>OL</t>
        </is>
      </c>
      <c r="D296" s="21">
        <f>VLOOKUP(C296,journal_to_ledger!B:E,4,FALSE)</f>
        <v/>
      </c>
    </row>
    <row r="297">
      <c r="A297" s="21" t="n">
        <v>2022</v>
      </c>
      <c r="B297" s="22" t="inlineStr">
        <is>
          <t>7月</t>
        </is>
      </c>
      <c r="C297" s="22" t="inlineStr">
        <is>
          <t>工资</t>
        </is>
      </c>
      <c r="D297" s="21">
        <f>VLOOKUP(C297,journal_to_ledger!B:E,4,FALSE)</f>
        <v/>
      </c>
    </row>
    <row r="298">
      <c r="A298" s="21" t="n">
        <v>2022</v>
      </c>
      <c r="B298" s="22" t="inlineStr">
        <is>
          <t>7月工资</t>
        </is>
      </c>
      <c r="C298" s="22" t="inlineStr">
        <is>
          <t>工资</t>
        </is>
      </c>
      <c r="D298" s="21">
        <f>VLOOKUP(C298,journal_to_ledger!B:E,4,FALSE)</f>
        <v/>
      </c>
    </row>
    <row r="299">
      <c r="A299" s="21" t="n">
        <v>2022</v>
      </c>
      <c r="B299" s="22" t="inlineStr">
        <is>
          <t>OL42姜智翔</t>
        </is>
      </c>
      <c r="C299" s="22" t="inlineStr">
        <is>
          <t>OL</t>
        </is>
      </c>
      <c r="D299" s="21">
        <f>VLOOKUP(C299,journal_to_ledger!B:E,4,FALSE)</f>
        <v/>
      </c>
    </row>
    <row r="300">
      <c r="A300" s="21" t="n">
        <v>2022</v>
      </c>
      <c r="B300" s="22" t="inlineStr">
        <is>
          <t>ol34押金，抱歉有些迟了，感谢参与～</t>
        </is>
      </c>
      <c r="C300" s="22" t="inlineStr">
        <is>
          <t>OL-D</t>
        </is>
      </c>
      <c r="D300" s="21">
        <f>VLOOKUP(C300,journal_to_ledger!B:E,4,FALSE)</f>
        <v/>
      </c>
    </row>
    <row r="301">
      <c r="A301" s="21" t="n">
        <v>2022</v>
      </c>
      <c r="B301" s="22" t="inlineStr">
        <is>
          <t>7月工资补发</t>
        </is>
      </c>
      <c r="C301" s="22" t="inlineStr">
        <is>
          <t>工资</t>
        </is>
      </c>
      <c r="D301" s="21">
        <f>VLOOKUP(C301,journal_to_ledger!B:E,4,FALSE)</f>
        <v/>
      </c>
    </row>
    <row r="302">
      <c r="A302" s="21" t="n">
        <v>2022</v>
      </c>
      <c r="B302" s="22" t="inlineStr">
        <is>
          <t>8月工资</t>
        </is>
      </c>
      <c r="C302" s="22" t="inlineStr">
        <is>
          <t>工资</t>
        </is>
      </c>
      <c r="D302" s="21">
        <f>VLOOKUP(C302,journal_to_ledger!B:E,4,FALSE)</f>
        <v/>
      </c>
    </row>
    <row r="303">
      <c r="A303" s="21" t="n">
        <v>2022</v>
      </c>
      <c r="B303" s="22" t="inlineStr">
        <is>
          <t>OL43 杜佳昕</t>
        </is>
      </c>
      <c r="C303" s="22" t="inlineStr">
        <is>
          <t>OL</t>
        </is>
      </c>
      <c r="D303" s="21">
        <f>VLOOKUP(C303,journal_to_ledger!B:E,4,FALSE)</f>
        <v/>
      </c>
    </row>
    <row r="304">
      <c r="A304" s="21" t="n">
        <v>2022</v>
      </c>
      <c r="B304" s="22" t="inlineStr">
        <is>
          <t>OL43李宇轩</t>
        </is>
      </c>
      <c r="C304" s="22" t="inlineStr">
        <is>
          <t>OL</t>
        </is>
      </c>
      <c r="D304" s="21">
        <f>VLOOKUP(C304,journal_to_ledger!B:E,4,FALSE)</f>
        <v/>
      </c>
    </row>
    <row r="305">
      <c r="A305" s="21" t="n">
        <v>2022</v>
      </c>
      <c r="B305" s="22" t="inlineStr">
        <is>
          <t>OL43-邬宣雅</t>
        </is>
      </c>
      <c r="C305" s="22" t="inlineStr">
        <is>
          <t>OL</t>
        </is>
      </c>
      <c r="D305" s="21">
        <f>VLOOKUP(C305,journal_to_ledger!B:E,4,FALSE)</f>
        <v/>
      </c>
    </row>
    <row r="306">
      <c r="A306" s="21" t="n">
        <v>2022</v>
      </c>
      <c r="B306" s="22" t="inlineStr">
        <is>
          <t>OL43+丁一鸣</t>
        </is>
      </c>
      <c r="C306" s="22" t="inlineStr">
        <is>
          <t>OL</t>
        </is>
      </c>
      <c r="D306" s="21">
        <f>VLOOKUP(C306,journal_to_ledger!B:E,4,FALSE)</f>
        <v/>
      </c>
    </row>
    <row r="307">
      <c r="A307" s="21" t="n">
        <v>2022</v>
      </c>
      <c r="B307" s="22" t="inlineStr">
        <is>
          <t>张奕帆课程费用</t>
        </is>
      </c>
      <c r="C307" s="22" t="inlineStr">
        <is>
          <t>OL</t>
        </is>
      </c>
      <c r="D307" s="21">
        <f>VLOOKUP(C307,journal_to_ledger!B:E,4,FALSE)</f>
        <v/>
      </c>
    </row>
    <row r="308">
      <c r="A308" s="21" t="n">
        <v>2022</v>
      </c>
      <c r="B308" s="22" t="inlineStr">
        <is>
          <t>OL43 林思婕</t>
        </is>
      </c>
      <c r="C308" s="22" t="inlineStr">
        <is>
          <t>OL</t>
        </is>
      </c>
      <c r="D308" s="21">
        <f>VLOOKUP(C308,journal_to_ledger!B:E,4,FALSE)</f>
        <v/>
      </c>
    </row>
    <row r="309">
      <c r="A309" s="21" t="n">
        <v>2022</v>
      </c>
      <c r="B309" s="22" t="inlineStr">
        <is>
          <t>OL43 刘逸飞</t>
        </is>
      </c>
      <c r="C309" s="22" t="inlineStr">
        <is>
          <t>OL</t>
        </is>
      </c>
      <c r="D309" s="21">
        <f>VLOOKUP(C309,journal_to_ledger!B:E,4,FALSE)</f>
        <v/>
      </c>
    </row>
    <row r="310">
      <c r="A310" s="21" t="n">
        <v>2022</v>
      </c>
      <c r="B310" s="22" t="inlineStr">
        <is>
          <t>OL43钱佳包</t>
        </is>
      </c>
      <c r="C310" s="22" t="inlineStr">
        <is>
          <t>OL</t>
        </is>
      </c>
      <c r="D310" s="21">
        <f>VLOOKUP(C310,journal_to_ledger!B:E,4,FALSE)</f>
        <v/>
      </c>
    </row>
    <row r="311">
      <c r="A311" s="21" t="n">
        <v>2022</v>
      </c>
      <c r="B311" s="22" t="inlineStr">
        <is>
          <t>OL43 黎子毓</t>
        </is>
      </c>
      <c r="C311" s="22" t="inlineStr">
        <is>
          <t>OL</t>
        </is>
      </c>
      <c r="D311" s="21">
        <f>VLOOKUP(C311,journal_to_ledger!B:E,4,FALSE)</f>
        <v/>
      </c>
    </row>
    <row r="312">
      <c r="A312" s="21" t="n">
        <v>2022</v>
      </c>
      <c r="B312" s="22" t="inlineStr">
        <is>
          <t>助学金学生 陆宥睿 OL43</t>
        </is>
      </c>
      <c r="C312" s="22" t="inlineStr">
        <is>
          <t>OL</t>
        </is>
      </c>
      <c r="D312" s="21">
        <f>VLOOKUP(C312,journal_to_ledger!B:E,4,FALSE)</f>
        <v/>
      </c>
    </row>
    <row r="313">
      <c r="A313" s="21" t="n">
        <v>2022</v>
      </c>
      <c r="B313" s="22" t="inlineStr">
        <is>
          <t>OL43 王羽晴</t>
        </is>
      </c>
      <c r="C313" s="22" t="inlineStr">
        <is>
          <t>OL</t>
        </is>
      </c>
      <c r="D313" s="21">
        <f>VLOOKUP(C313,journal_to_ledger!B:E,4,FALSE)</f>
        <v/>
      </c>
    </row>
    <row r="314">
      <c r="A314" s="21" t="n">
        <v>2022</v>
      </c>
      <c r="B314" s="22" t="inlineStr">
        <is>
          <t>ol43+王莹</t>
        </is>
      </c>
      <c r="C314" s="22" t="inlineStr">
        <is>
          <t>OL</t>
        </is>
      </c>
      <c r="D314" s="21">
        <f>VLOOKUP(C314,journal_to_ledger!B:E,4,FALSE)</f>
        <v/>
      </c>
    </row>
    <row r="315">
      <c r="A315" s="21" t="n">
        <v>2022</v>
      </c>
      <c r="B315" s="22" t="inlineStr">
        <is>
          <t>OL43 沈语嫣</t>
        </is>
      </c>
      <c r="C315" s="22" t="inlineStr">
        <is>
          <t>OL</t>
        </is>
      </c>
      <c r="D315" s="21">
        <f>VLOOKUP(C315,journal_to_ledger!B:E,4,FALSE)</f>
        <v/>
      </c>
    </row>
    <row r="316">
      <c r="A316" s="21" t="n">
        <v>2022</v>
      </c>
      <c r="B316" s="22" t="inlineStr">
        <is>
          <t>OL43+王楚越</t>
        </is>
      </c>
      <c r="C316" s="22" t="inlineStr">
        <is>
          <t>OL</t>
        </is>
      </c>
      <c r="D316" s="21">
        <f>VLOOKUP(C316,journal_to_ledger!B:E,4,FALSE)</f>
        <v/>
      </c>
    </row>
    <row r="317">
      <c r="A317" s="21" t="n">
        <v>2022</v>
      </c>
      <c r="B317" s="22" t="inlineStr">
        <is>
          <t>OL43+李梦源（李小点）</t>
        </is>
      </c>
      <c r="C317" s="22" t="inlineStr">
        <is>
          <t>OL</t>
        </is>
      </c>
      <c r="D317" s="21">
        <f>VLOOKUP(C317,journal_to_ledger!B:E,4,FALSE)</f>
        <v/>
      </c>
    </row>
    <row r="318">
      <c r="A318" s="21" t="n">
        <v>2022</v>
      </c>
      <c r="B318" s="22" t="inlineStr">
        <is>
          <t>OL43+郑冠同</t>
        </is>
      </c>
      <c r="C318" s="22" t="inlineStr">
        <is>
          <t>OL</t>
        </is>
      </c>
      <c r="D318" s="21">
        <f>VLOOKUP(C318,journal_to_ledger!B:E,4,FALSE)</f>
        <v/>
      </c>
    </row>
    <row r="319">
      <c r="A319" s="21" t="n">
        <v>2022</v>
      </c>
      <c r="B319" s="22" t="inlineStr">
        <is>
          <t>OL43 Chloe Wang 王伊憬</t>
        </is>
      </c>
      <c r="C319" s="22" t="inlineStr">
        <is>
          <t>OL</t>
        </is>
      </c>
      <c r="D319" s="21">
        <f>VLOOKUP(C319,journal_to_ledger!B:E,4,FALSE)</f>
        <v/>
      </c>
    </row>
    <row r="320">
      <c r="A320" s="21" t="n">
        <v>2022</v>
      </c>
      <c r="B320" s="22" t="n"/>
      <c r="C320" s="23" t="inlineStr">
        <is>
          <t>支付宝余额自动转入</t>
        </is>
      </c>
      <c r="D320" s="21">
        <f>VLOOKUP(C320,journal_to_ledger!B:E,4,FALSE)</f>
        <v/>
      </c>
    </row>
    <row r="321">
      <c r="A321" s="21" t="n">
        <v>2022</v>
      </c>
      <c r="B321" s="22" t="n"/>
      <c r="C321" s="23" t="inlineStr">
        <is>
          <t>余利宝收益发放</t>
        </is>
      </c>
      <c r="D321" s="21">
        <f>VLOOKUP(C321,journal_to_ledger!B:E,4,FALSE)</f>
        <v/>
      </c>
    </row>
    <row r="322">
      <c r="A322" s="21" t="n">
        <v>2022</v>
      </c>
      <c r="B322" s="22" t="n"/>
      <c r="C322" s="23" t="inlineStr">
        <is>
          <t>转出到支付宝余额</t>
        </is>
      </c>
      <c r="D322" s="21">
        <f>VLOOKUP(C322,journal_to_ledger!B:E,4,FALSE)</f>
        <v/>
      </c>
    </row>
    <row r="323">
      <c r="A323" s="21" t="n">
        <v>2022</v>
      </c>
      <c r="B323" s="22" t="inlineStr">
        <is>
          <t>广东碧桂园学校梁心语</t>
        </is>
      </c>
      <c r="C323" s="22" t="inlineStr">
        <is>
          <t>书院</t>
        </is>
      </c>
      <c r="D323" s="21">
        <f>VLOOKUP(C323,journal_to_ledger!B:E,4,FALSE)</f>
        <v/>
      </c>
    </row>
    <row r="324">
      <c r="A324" s="21" t="n">
        <v>2022</v>
      </c>
      <c r="B324" s="22" t="inlineStr">
        <is>
          <t>电子汇入</t>
        </is>
      </c>
      <c r="C324" s="22" t="inlineStr">
        <is>
          <t>书院</t>
        </is>
      </c>
      <c r="D324" s="21">
        <f>VLOOKUP(C324,journal_to_ledger!B:E,4,FALSE)</f>
        <v/>
      </c>
    </row>
    <row r="325">
      <c r="A325" s="21" t="n">
        <v>2022</v>
      </c>
      <c r="B325" s="22" t="inlineStr">
        <is>
          <t>李锦荣波士顿学院BostonColl</t>
        </is>
      </c>
      <c r="C325" s="22" t="inlineStr">
        <is>
          <t>书院</t>
        </is>
      </c>
      <c r="D325" s="21">
        <f>VLOOKUP(C325,journal_to_ledger!B:E,4,FALSE)</f>
        <v/>
      </c>
    </row>
    <row r="326">
      <c r="A326" s="21" t="n">
        <v>2022</v>
      </c>
      <c r="B326" s="22" t="inlineStr">
        <is>
          <t>李雨桐人大附中ICC</t>
        </is>
      </c>
      <c r="C326" s="22" t="inlineStr">
        <is>
          <t>书院</t>
        </is>
      </c>
      <c r="D326" s="21">
        <f>VLOOKUP(C326,journal_to_ledger!B:E,4,FALSE)</f>
        <v/>
      </c>
    </row>
    <row r="327">
      <c r="A327" s="21" t="n">
        <v>2022</v>
      </c>
      <c r="B327" s="22" t="inlineStr">
        <is>
          <t>服务费</t>
        </is>
      </c>
      <c r="C327" s="22" t="inlineStr">
        <is>
          <t>书院</t>
        </is>
      </c>
      <c r="D327" s="21">
        <f>VLOOKUP(C327,journal_to_ledger!B:E,4,FALSE)</f>
        <v/>
      </c>
    </row>
    <row r="328">
      <c r="A328" s="21" t="n">
        <v>2022</v>
      </c>
      <c r="B328" s="22" t="inlineStr">
        <is>
          <t>王安若/深国交</t>
        </is>
      </c>
      <c r="C328" s="22" t="inlineStr">
        <is>
          <t>书院</t>
        </is>
      </c>
      <c r="D328" s="21">
        <f>VLOOKUP(C328,journal_to_ledger!B:E,4,FALSE)</f>
        <v/>
      </c>
    </row>
    <row r="329">
      <c r="A329" s="21" t="n">
        <v>2022</v>
      </c>
      <c r="B329" s="22" t="inlineStr">
        <is>
          <t>大夏令营</t>
        </is>
      </c>
      <c r="C329" s="22" t="inlineStr">
        <is>
          <t>书院</t>
        </is>
      </c>
      <c r="D329" s="21">
        <f>VLOOKUP(C329,journal_to_ledger!B:E,4,FALSE)</f>
        <v/>
      </c>
    </row>
    <row r="330">
      <c r="A330" s="21" t="n">
        <v>2022</v>
      </c>
      <c r="B330" s="22" t="inlineStr">
        <is>
          <t>张奕帆青岛第五十八中学线上课报名费</t>
        </is>
      </c>
      <c r="C330" s="22" t="inlineStr">
        <is>
          <t>书院</t>
        </is>
      </c>
      <c r="D330" s="21">
        <f>VLOOKUP(C330,journal_to_ledger!B:E,4,FALSE)</f>
        <v/>
      </c>
    </row>
    <row r="331">
      <c r="A331" s="21" t="n">
        <v>2022</v>
      </c>
      <c r="B331" s="22" t="inlineStr">
        <is>
          <t>郭靖琳深圳大学</t>
        </is>
      </c>
      <c r="C331" s="22" t="inlineStr">
        <is>
          <t>书院</t>
        </is>
      </c>
      <c r="D331" s="21">
        <f>VLOOKUP(C331,journal_to_ledger!B:E,4,FALSE)</f>
        <v/>
      </c>
    </row>
    <row r="332">
      <c r="A332" s="21" t="n">
        <v>2022</v>
      </c>
      <c r="B332" s="22" t="inlineStr">
        <is>
          <t>美国波士顿东北大学吴子含</t>
        </is>
      </c>
      <c r="C332" s="22" t="inlineStr">
        <is>
          <t>书院</t>
        </is>
      </c>
      <c r="D332" s="21">
        <f>VLOOKUP(C332,journal_to_ledger!B:E,4,FALSE)</f>
        <v/>
      </c>
    </row>
    <row r="333">
      <c r="A333" s="21" t="n">
        <v>2022</v>
      </c>
      <c r="B333" s="22" t="inlineStr">
        <is>
          <t>许成阳南京外国语学校国际部2022唯理线上书院缴费</t>
        </is>
      </c>
      <c r="C333" s="22" t="inlineStr">
        <is>
          <t>书院</t>
        </is>
      </c>
      <c r="D333" s="21">
        <f>VLOOKUP(C333,journal_to_ledger!B:E,4,FALSE)</f>
        <v/>
      </c>
    </row>
    <row r="334">
      <c r="A334" s="21" t="n">
        <v>2022</v>
      </c>
      <c r="B334" s="22" t="inlineStr">
        <is>
          <t>深圳国际交流学院杨若晨</t>
        </is>
      </c>
      <c r="C334" s="22" t="inlineStr">
        <is>
          <t>书院</t>
        </is>
      </c>
      <c r="D334" s="21">
        <f>VLOOKUP(C334,journal_to_ledger!B:E,4,FALSE)</f>
        <v/>
      </c>
    </row>
    <row r="335">
      <c r="A335" s="21" t="n">
        <v>2022</v>
      </c>
      <c r="B335" s="22" t="inlineStr">
        <is>
          <t>北京十一学校张卓雨</t>
        </is>
      </c>
      <c r="C335" s="22" t="inlineStr">
        <is>
          <t>书院</t>
        </is>
      </c>
      <c r="D335" s="21">
        <f>VLOOKUP(C335,journal_to_ledger!B:E,4,FALSE)</f>
        <v/>
      </c>
    </row>
    <row r="336">
      <c r="A336" s="21" t="n">
        <v>2022</v>
      </c>
      <c r="B336" s="22" t="inlineStr">
        <is>
          <t>兰会海深圳国际交流学院</t>
        </is>
      </c>
      <c r="C336" s="22" t="inlineStr">
        <is>
          <t>书院</t>
        </is>
      </c>
      <c r="D336" s="21">
        <f>VLOOKUP(C336,journal_to_ledger!B:E,4,FALSE)</f>
        <v/>
      </c>
    </row>
    <row r="337">
      <c r="A337" s="21" t="n">
        <v>2022</v>
      </c>
      <c r="B337" s="22" t="inlineStr">
        <is>
          <t>往来款</t>
        </is>
      </c>
      <c r="C337" s="22" t="inlineStr">
        <is>
          <t>手续费</t>
        </is>
      </c>
      <c r="D337" s="21">
        <f>VLOOKUP(C337,journal_to_ledger!B:E,4,FALSE)</f>
        <v/>
      </c>
    </row>
    <row r="338">
      <c r="A338" s="21" t="n">
        <v>2022</v>
      </c>
      <c r="B338" s="22" t="inlineStr">
        <is>
          <t>往来款</t>
        </is>
      </c>
      <c r="C338" s="22" t="inlineStr">
        <is>
          <t>/</t>
        </is>
      </c>
      <c r="D338" s="21">
        <f>VLOOKUP(C338,journal_to_ledger!B:E,4,FALSE)</f>
        <v/>
      </c>
    </row>
    <row r="339">
      <c r="A339" s="21" t="n">
        <v>2022</v>
      </c>
      <c r="B339" s="22" t="inlineStr">
        <is>
          <t>来账2.0-已入账退回</t>
        </is>
      </c>
      <c r="C339" s="22" t="inlineStr">
        <is>
          <t>/</t>
        </is>
      </c>
      <c r="D339" s="21">
        <f>VLOOKUP(C339,journal_to_ledger!B:E,4,FALSE)</f>
        <v/>
      </c>
    </row>
    <row r="340">
      <c r="A340" s="21" t="n">
        <v>2022</v>
      </c>
      <c r="B340" s="22" t="inlineStr">
        <is>
          <t>收费项目:对公人民币转账、汇款（含退汇）-对公资金划转跨行异地</t>
        </is>
      </c>
      <c r="C340" s="22" t="inlineStr">
        <is>
          <t>手续费</t>
        </is>
      </c>
      <c r="D340" s="21">
        <f>VLOOKUP(C340,journal_to_ledger!B:E,4,FALSE)</f>
        <v/>
      </c>
    </row>
    <row r="341">
      <c r="A341" s="21" t="n">
        <v>2022</v>
      </c>
      <c r="B341" s="22" t="inlineStr">
        <is>
          <t>收款方备注:二维码收款</t>
        </is>
      </c>
      <c r="C341" s="26" t="inlineStr">
        <is>
          <t>OL</t>
        </is>
      </c>
      <c r="D341" s="21">
        <f>VLOOKUP(C341,journal_to_ledger!B:E,4,FALSE)</f>
        <v/>
      </c>
    </row>
    <row r="342">
      <c r="A342" s="21" t="n">
        <v>2022</v>
      </c>
      <c r="B342" s="22" t="inlineStr">
        <is>
          <t>OL43 李思曼</t>
        </is>
      </c>
      <c r="C342" s="22" t="inlineStr">
        <is>
          <t>OL</t>
        </is>
      </c>
      <c r="D342" s="21">
        <f>VLOOKUP(C342,journal_to_ledger!B:E,4,FALSE)</f>
        <v/>
      </c>
    </row>
    <row r="343">
      <c r="A343" s="21" t="n">
        <v>2022</v>
      </c>
      <c r="B343" s="22" t="inlineStr">
        <is>
          <t>ol34工资，抱歉迟了一些，谢谢～</t>
        </is>
      </c>
      <c r="C343" s="22" t="inlineStr">
        <is>
          <t>OL</t>
        </is>
      </c>
      <c r="D343" s="21">
        <f>VLOOKUP(C343,journal_to_ledger!B:E,4,FALSE)</f>
        <v/>
      </c>
    </row>
    <row r="344">
      <c r="A344" s="21" t="n">
        <v>2022</v>
      </c>
      <c r="B344" s="22" t="inlineStr">
        <is>
          <t>ol39押金，感谢再次参与～</t>
        </is>
      </c>
      <c r="C344" s="22" t="inlineStr">
        <is>
          <t>OL-D</t>
        </is>
      </c>
      <c r="D344" s="21">
        <f>VLOOKUP(C344,journal_to_ledger!B:E,4,FALSE)</f>
        <v/>
      </c>
    </row>
    <row r="345">
      <c r="A345" s="21" t="n">
        <v>2022</v>
      </c>
      <c r="B345" s="22" t="inlineStr">
        <is>
          <t>补退课程费用，希望下次见到你～</t>
        </is>
      </c>
      <c r="C345" s="22" t="inlineStr">
        <is>
          <t>OL</t>
        </is>
      </c>
      <c r="D345" s="21">
        <f>VLOOKUP(C345,journal_to_ledger!B:E,4,FALSE)</f>
        <v/>
      </c>
    </row>
    <row r="346">
      <c r="A346" s="21" t="n">
        <v>2022</v>
      </c>
      <c r="B346" s="22" t="inlineStr">
        <is>
          <t>押金返还，感谢参与～</t>
        </is>
      </c>
      <c r="C346" s="22" t="inlineStr">
        <is>
          <t>OL-D</t>
        </is>
      </c>
      <c r="D346" s="21">
        <f>VLOOKUP(C346,journal_to_ledger!B:E,4,FALSE)</f>
        <v/>
      </c>
    </row>
    <row r="347">
      <c r="A347" s="21" t="n">
        <v>2022</v>
      </c>
      <c r="B347" s="22" t="inlineStr">
        <is>
          <t>OL43录播+程佳慧</t>
        </is>
      </c>
      <c r="C347" s="22" t="inlineStr">
        <is>
          <t>OL-N</t>
        </is>
      </c>
      <c r="D347" s="21">
        <f>VLOOKUP(C347,journal_to_ledger!B:E,4,FALSE)</f>
        <v/>
      </c>
    </row>
    <row r="348">
      <c r="A348" s="21" t="n">
        <v>2022</v>
      </c>
      <c r="B348" s="22" t="inlineStr">
        <is>
          <t>课程退款，希望再次见到你～</t>
        </is>
      </c>
      <c r="C348" s="22" t="inlineStr">
        <is>
          <t>OL</t>
        </is>
      </c>
      <c r="D348" s="21">
        <f>VLOOKUP(C348,journal_to_ledger!B:E,4,FALSE)</f>
        <v/>
      </c>
    </row>
    <row r="349">
      <c r="A349" s="21" t="n">
        <v>2022</v>
      </c>
      <c r="B349" s="22" t="inlineStr">
        <is>
          <t>押金退还，希望再次见到你～</t>
        </is>
      </c>
      <c r="C349" s="22" t="inlineStr">
        <is>
          <t>OL-D</t>
        </is>
      </c>
      <c r="D349" s="21">
        <f>VLOOKUP(C349,journal_to_ledger!B:E,4,FALSE)</f>
        <v/>
      </c>
    </row>
    <row r="350">
      <c r="A350" s="21" t="n">
        <v>2022</v>
      </c>
      <c r="B350" s="22" t="inlineStr">
        <is>
          <t>ol41讲师工资，感谢参与！希望之后再见</t>
        </is>
      </c>
      <c r="C350" s="22" t="inlineStr">
        <is>
          <t>OL</t>
        </is>
      </c>
      <c r="D350" s="21">
        <f>VLOOKUP(C350,journal_to_ledger!B:E,4,FALSE)</f>
        <v/>
      </c>
    </row>
    <row r="351">
      <c r="A351" s="21" t="n">
        <v>2022</v>
      </c>
      <c r="B351" s="22" t="inlineStr">
        <is>
          <t>ol41押金退还，感谢参与～</t>
        </is>
      </c>
      <c r="C351" s="22" t="inlineStr">
        <is>
          <t>OL-D</t>
        </is>
      </c>
      <c r="D351" s="21">
        <f>VLOOKUP(C351,journal_to_ledger!B:E,4,FALSE)</f>
        <v/>
      </c>
    </row>
    <row r="352">
      <c r="A352" s="21" t="n">
        <v>2022</v>
      </c>
      <c r="B352" s="22" t="inlineStr">
        <is>
          <t>地址续租</t>
        </is>
      </c>
      <c r="C352" s="22" t="inlineStr">
        <is>
          <t>运营</t>
        </is>
      </c>
      <c r="D352" s="21">
        <f>VLOOKUP(C352,journal_to_ledger!B:E,4,FALSE)</f>
        <v/>
      </c>
    </row>
    <row r="353">
      <c r="A353" s="21" t="n">
        <v>2022</v>
      </c>
      <c r="B353" s="22" t="inlineStr">
        <is>
          <t>押金</t>
        </is>
      </c>
      <c r="C353" s="22" t="inlineStr">
        <is>
          <t>OL-D</t>
        </is>
      </c>
      <c r="D353" s="21">
        <f>VLOOKUP(C353,journal_to_ledger!B:E,4,FALSE)</f>
        <v/>
      </c>
    </row>
    <row r="354">
      <c r="A354" s="21" t="n">
        <v>2022</v>
      </c>
      <c r="B354" s="22" t="inlineStr">
        <is>
          <t>押金退还，感谢参与～</t>
        </is>
      </c>
      <c r="C354" s="22" t="inlineStr">
        <is>
          <t>OL-D</t>
        </is>
      </c>
      <c r="D354" s="21">
        <f>VLOOKUP(C354,journal_to_ledger!B:E,4,FALSE)</f>
        <v/>
      </c>
    </row>
    <row r="355">
      <c r="A355" s="21" t="n">
        <v>2022</v>
      </c>
      <c r="B355" s="22" t="inlineStr">
        <is>
          <t>退还押金，感谢参与～</t>
        </is>
      </c>
      <c r="C355" s="22" t="inlineStr">
        <is>
          <t>OL-D</t>
        </is>
      </c>
      <c r="D355" s="21">
        <f>VLOOKUP(C355,journal_to_ledger!B:E,4,FALSE)</f>
        <v/>
      </c>
    </row>
    <row r="356">
      <c r="A356" s="21" t="n">
        <v>2022</v>
      </c>
      <c r="B356" s="22" t="inlineStr">
        <is>
          <t>服务费[20221029200040011100020036770343]</t>
        </is>
      </c>
      <c r="C356" s="22" t="inlineStr">
        <is>
          <t>运营</t>
        </is>
      </c>
      <c r="D356" s="21">
        <f>VLOOKUP(C356,journal_to_ledger!B:E,4,FALSE)</f>
        <v/>
      </c>
    </row>
    <row r="357">
      <c r="A357" s="21" t="n">
        <v>2022</v>
      </c>
      <c r="B357" s="22" t="inlineStr">
        <is>
          <t>ol42工资，感谢参与～</t>
        </is>
      </c>
      <c r="C357" s="22" t="inlineStr">
        <is>
          <t>OL</t>
        </is>
      </c>
      <c r="D357" s="21">
        <f>VLOOKUP(C357,journal_to_ledger!B:E,4,FALSE)</f>
        <v/>
      </c>
    </row>
    <row r="358">
      <c r="A358" s="21" t="n">
        <v>2022</v>
      </c>
      <c r="B358" s="22" t="inlineStr">
        <is>
          <t>ol42押金退还，感谢参与～</t>
        </is>
      </c>
      <c r="C358" s="22" t="inlineStr">
        <is>
          <t>OL-D</t>
        </is>
      </c>
      <c r="D358" s="21">
        <f>VLOOKUP(C358,journal_to_ledger!B:E,4,FALSE)</f>
        <v/>
      </c>
    </row>
    <row r="359">
      <c r="A359" s="21" t="n">
        <v>2022</v>
      </c>
      <c r="B359" s="22" t="inlineStr">
        <is>
          <t>ol40工资，感谢参与～</t>
        </is>
      </c>
      <c r="C359" s="22" t="inlineStr">
        <is>
          <t>OL</t>
        </is>
      </c>
      <c r="D359" s="21">
        <f>VLOOKUP(C359,journal_to_ledger!B:E,4,FALSE)</f>
        <v/>
      </c>
    </row>
    <row r="360">
      <c r="A360" s="21" t="n">
        <v>2022</v>
      </c>
      <c r="B360" s="22" t="inlineStr">
        <is>
          <t>9月工资</t>
        </is>
      </c>
      <c r="C360" s="22" t="inlineStr">
        <is>
          <t>工资</t>
        </is>
      </c>
      <c r="D360" s="21">
        <f>VLOOKUP(C360,journal_to_ledger!B:E,4,FALSE)</f>
        <v/>
      </c>
    </row>
    <row r="361">
      <c r="A361" s="21" t="n">
        <v>2022</v>
      </c>
      <c r="B361" s="22" t="inlineStr">
        <is>
          <t>书院纪念品邮寄报销</t>
        </is>
      </c>
      <c r="C361" s="22" t="inlineStr">
        <is>
          <t>运营报销</t>
        </is>
      </c>
      <c r="D361" s="21">
        <f>VLOOKUP(C361,journal_to_ledger!B:E,4,FALSE)</f>
        <v/>
      </c>
    </row>
    <row r="362">
      <c r="A362" s="21" t="n">
        <v>2022</v>
      </c>
      <c r="B362" s="22" t="inlineStr">
        <is>
          <t>专题研讨屋文字稿报销</t>
        </is>
      </c>
      <c r="C362" s="22" t="inlineStr">
        <is>
          <t>运营报销</t>
        </is>
      </c>
      <c r="D362" s="21">
        <f>VLOOKUP(C362,journal_to_ledger!B:E,4,FALSE)</f>
        <v/>
      </c>
    </row>
    <row r="363">
      <c r="A363" s="21" t="n">
        <v>2022</v>
      </c>
      <c r="B363" s="22" t="inlineStr">
        <is>
          <t>第七期专题研讨屋3个礼品卡报销</t>
        </is>
      </c>
      <c r="C363" s="22" t="inlineStr">
        <is>
          <t>运营报销</t>
        </is>
      </c>
      <c r="D363" s="21">
        <f>VLOOKUP(C363,journal_to_ledger!B:E,4,FALSE)</f>
        <v/>
      </c>
    </row>
    <row r="364">
      <c r="A364" s="21" t="n">
        <v>2022</v>
      </c>
      <c r="B364" s="22" t="inlineStr">
        <is>
          <t>ol38 郑凯文</t>
        </is>
      </c>
      <c r="C364" s="22" t="inlineStr">
        <is>
          <t>OL</t>
        </is>
      </c>
      <c r="D364" s="21">
        <f>VLOOKUP(C364,journal_to_ledger!B:E,4,FALSE)</f>
        <v/>
      </c>
    </row>
    <row r="365">
      <c r="A365" s="21" t="n">
        <v>2022</v>
      </c>
      <c r="B365" s="22" t="inlineStr">
        <is>
          <t>ol38工资 感谢参与～</t>
        </is>
      </c>
      <c r="C365" s="22" t="inlineStr">
        <is>
          <t>OL</t>
        </is>
      </c>
      <c r="D365" s="21">
        <f>VLOOKUP(C365,journal_to_ledger!B:E,4,FALSE)</f>
        <v/>
      </c>
    </row>
    <row r="366">
      <c r="A366" s="21" t="n">
        <v>2022</v>
      </c>
      <c r="B366" s="22" t="inlineStr">
        <is>
          <t>ol38押金退还，感谢参与～</t>
        </is>
      </c>
      <c r="C366" s="22" t="inlineStr">
        <is>
          <t>OL-D</t>
        </is>
      </c>
      <c r="D366" s="21">
        <f>VLOOKUP(C366,journal_to_ledger!B:E,4,FALSE)</f>
        <v/>
      </c>
    </row>
    <row r="367">
      <c r="A367" s="21" t="n">
        <v>2022</v>
      </c>
      <c r="B367" s="22" t="inlineStr">
        <is>
          <t>OL44 杨珮文</t>
        </is>
      </c>
      <c r="C367" s="22" t="inlineStr">
        <is>
          <t>OL</t>
        </is>
      </c>
      <c r="D367" s="21">
        <f>VLOOKUP(C367,journal_to_ledger!B:E,4,FALSE)</f>
        <v/>
      </c>
    </row>
    <row r="368">
      <c r="A368" s="21" t="n">
        <v>2022</v>
      </c>
      <c r="B368" s="22" t="inlineStr">
        <is>
          <t>OL44-叶昊南</t>
        </is>
      </c>
      <c r="C368" s="22" t="inlineStr">
        <is>
          <t>OL</t>
        </is>
      </c>
      <c r="D368" s="21">
        <f>VLOOKUP(C368,journal_to_ledger!B:E,4,FALSE)</f>
        <v/>
      </c>
    </row>
    <row r="369">
      <c r="A369" s="21" t="n">
        <v>2022</v>
      </c>
      <c r="B369" s="22" t="inlineStr">
        <is>
          <t>OL44 杜筱萱</t>
        </is>
      </c>
      <c r="C369" s="22" t="inlineStr">
        <is>
          <t>OL</t>
        </is>
      </c>
      <c r="D369" s="21">
        <f>VLOOKUP(C369,journal_to_ledger!B:E,4,FALSE)</f>
        <v/>
      </c>
    </row>
    <row r="370">
      <c r="A370" s="21" t="n">
        <v>2022</v>
      </c>
      <c r="B370" s="22" t="inlineStr">
        <is>
          <t>OL44 雷胡喆</t>
        </is>
      </c>
      <c r="C370" s="22" t="inlineStr">
        <is>
          <t>OL</t>
        </is>
      </c>
      <c r="D370" s="21">
        <f>VLOOKUP(C370,journal_to_ledger!B:E,4,FALSE)</f>
        <v/>
      </c>
    </row>
    <row r="371">
      <c r="A371" s="21" t="n">
        <v>2022</v>
      </c>
      <c r="B371" s="22" t="inlineStr">
        <is>
          <t>OL44+Eason Yang</t>
        </is>
      </c>
      <c r="C371" s="22" t="inlineStr">
        <is>
          <t>OL</t>
        </is>
      </c>
      <c r="D371" s="21">
        <f>VLOOKUP(C371,journal_to_ledger!B:E,4,FALSE)</f>
        <v/>
      </c>
    </row>
    <row r="372">
      <c r="A372" s="21" t="n">
        <v>2022</v>
      </c>
      <c r="B372" s="22" t="inlineStr">
        <is>
          <t>王国谦 OL44课程缴费</t>
        </is>
      </c>
      <c r="C372" s="22" t="inlineStr">
        <is>
          <t>OL</t>
        </is>
      </c>
      <c r="D372" s="21">
        <f>VLOOKUP(C372,journal_to_ledger!B:E,4,FALSE)</f>
        <v/>
      </c>
    </row>
    <row r="373">
      <c r="A373" s="21" t="n">
        <v>2022</v>
      </c>
      <c r="B373" s="22" t="inlineStr">
        <is>
          <t>OL44戴蔚杰</t>
        </is>
      </c>
      <c r="C373" s="22" t="inlineStr">
        <is>
          <t>OL</t>
        </is>
      </c>
      <c r="D373" s="21">
        <f>VLOOKUP(C373,journal_to_ledger!B:E,4,FALSE)</f>
        <v/>
      </c>
    </row>
    <row r="374">
      <c r="A374" s="21" t="n">
        <v>2022</v>
      </c>
      <c r="B374" s="22" t="inlineStr">
        <is>
          <t>深国交张若溪唯理在线课程费用</t>
        </is>
      </c>
      <c r="C374" s="22" t="inlineStr">
        <is>
          <t>OL</t>
        </is>
      </c>
      <c r="D374" s="21">
        <f>VLOOKUP(C374,journal_to_ledger!B:E,4,FALSE)</f>
        <v/>
      </c>
    </row>
    <row r="375">
      <c r="A375" s="21" t="n">
        <v>2022</v>
      </c>
      <c r="B375" s="22" t="inlineStr">
        <is>
          <t>OL44刘逸飞</t>
        </is>
      </c>
      <c r="C375" s="22" t="inlineStr">
        <is>
          <t>OL</t>
        </is>
      </c>
      <c r="D375" s="21">
        <f>VLOOKUP(C375,journal_to_ledger!B:E,4,FALSE)</f>
        <v/>
      </c>
    </row>
    <row r="376">
      <c r="A376" s="21" t="n">
        <v>2022</v>
      </c>
      <c r="B376" s="22" t="inlineStr">
        <is>
          <t>OL44+初函菲</t>
        </is>
      </c>
      <c r="C376" s="22" t="inlineStr">
        <is>
          <t>OL</t>
        </is>
      </c>
      <c r="D376" s="21">
        <f>VLOOKUP(C376,journal_to_ledger!B:E,4,FALSE)</f>
        <v/>
      </c>
    </row>
    <row r="377">
      <c r="A377" s="21" t="n">
        <v>2022</v>
      </c>
      <c r="B377" s="22" t="inlineStr">
        <is>
          <t>OL44+王君</t>
        </is>
      </c>
      <c r="C377" s="22" t="inlineStr">
        <is>
          <t>OL</t>
        </is>
      </c>
      <c r="D377" s="21">
        <f>VLOOKUP(C377,journal_to_ledger!B:E,4,FALSE)</f>
        <v/>
      </c>
    </row>
    <row r="378">
      <c r="A378" s="21" t="n">
        <v>2022</v>
      </c>
      <c r="B378" s="22" t="inlineStr">
        <is>
          <t>OL44 王辰宇</t>
        </is>
      </c>
      <c r="C378" s="22" t="inlineStr">
        <is>
          <t>OL</t>
        </is>
      </c>
      <c r="D378" s="21">
        <f>VLOOKUP(C378,journal_to_ledger!B:E,4,FALSE)</f>
        <v/>
      </c>
    </row>
    <row r="379">
      <c r="A379" s="21" t="n">
        <v>2022</v>
      </c>
      <c r="B379" s="22" t="inlineStr">
        <is>
          <t>OL44+林思萍</t>
        </is>
      </c>
      <c r="C379" s="22" t="inlineStr">
        <is>
          <t>OL</t>
        </is>
      </c>
      <c r="D379" s="21">
        <f>VLOOKUP(C379,journal_to_ledger!B:E,4,FALSE)</f>
        <v/>
      </c>
    </row>
    <row r="380">
      <c r="A380" s="21" t="n">
        <v>2022</v>
      </c>
      <c r="B380" s="22" t="inlineStr">
        <is>
          <t>现实主义与战争课程Robert T谭博文</t>
        </is>
      </c>
      <c r="C380" s="22" t="inlineStr">
        <is>
          <t>OL</t>
        </is>
      </c>
      <c r="D380" s="21">
        <f>VLOOKUP(C380,journal_to_ledger!B:E,4,FALSE)</f>
        <v/>
      </c>
    </row>
    <row r="381">
      <c r="A381" s="21" t="n">
        <v>2022</v>
      </c>
      <c r="B381" s="22" t="inlineStr">
        <is>
          <t>服务费[20221128200040011100020051838701]</t>
        </is>
      </c>
      <c r="C381" s="22" t="inlineStr">
        <is>
          <t>运营</t>
        </is>
      </c>
      <c r="D381" s="21">
        <f>VLOOKUP(C381,journal_to_ledger!B:E,4,FALSE)</f>
        <v/>
      </c>
    </row>
    <row r="382">
      <c r="A382" s="21" t="n">
        <v>2022</v>
      </c>
      <c r="B382" s="22" t="inlineStr">
        <is>
          <t>10月工资</t>
        </is>
      </c>
      <c r="C382" s="22" t="inlineStr">
        <is>
          <t>工资</t>
        </is>
      </c>
      <c r="D382" s="21">
        <f>VLOOKUP(C382,journal_to_ledger!B:E,4,FALSE)</f>
        <v/>
      </c>
    </row>
    <row r="383">
      <c r="A383" s="21" t="n">
        <v>2022</v>
      </c>
      <c r="B383" s="22" t="inlineStr">
        <is>
          <t>常洺硕OL44录像</t>
        </is>
      </c>
      <c r="C383" s="22" t="inlineStr">
        <is>
          <t>OL-N</t>
        </is>
      </c>
      <c r="D383" s="21">
        <f>VLOOKUP(C383,journal_to_ledger!B:E,4,FALSE)</f>
        <v/>
      </c>
    </row>
    <row r="384">
      <c r="A384" s="21" t="n">
        <v>2022</v>
      </c>
      <c r="B384" s="22" t="inlineStr">
        <is>
          <t>退课，希望下次见到你～</t>
        </is>
      </c>
      <c r="C384" s="22" t="inlineStr">
        <is>
          <t>OL</t>
        </is>
      </c>
      <c r="D384" s="21">
        <f>VLOOKUP(C384,journal_to_ledger!B:E,4,FALSE)</f>
        <v/>
      </c>
    </row>
    <row r="385">
      <c r="A385" s="21" t="n">
        <v>2022</v>
      </c>
      <c r="B385" s="22" t="inlineStr">
        <is>
          <t>OL44曹子健</t>
        </is>
      </c>
      <c r="C385" s="22" t="inlineStr">
        <is>
          <t>OL</t>
        </is>
      </c>
      <c r="D385" s="21">
        <f>VLOOKUP(C385,journal_to_ledger!B:E,4,FALSE)</f>
        <v/>
      </c>
    </row>
    <row r="386">
      <c r="A386" s="21" t="n">
        <v>2022</v>
      </c>
      <c r="B386" s="22" t="inlineStr">
        <is>
          <t>来易OL44录像</t>
        </is>
      </c>
      <c r="C386" s="22" t="inlineStr">
        <is>
          <t>OL-N</t>
        </is>
      </c>
      <c r="D386" s="21">
        <f>VLOOKUP(C386,journal_to_ledger!B:E,4,FALSE)</f>
        <v/>
      </c>
    </row>
    <row r="387">
      <c r="A387" s="21" t="n">
        <v>2022</v>
      </c>
      <c r="B387" s="22" t="inlineStr">
        <is>
          <t>ol43工资，感谢～</t>
        </is>
      </c>
      <c r="C387" s="22" t="inlineStr">
        <is>
          <t>OL</t>
        </is>
      </c>
      <c r="D387" s="21">
        <f>VLOOKUP(C387,journal_to_ledger!B:E,4,FALSE)</f>
        <v/>
      </c>
    </row>
    <row r="388">
      <c r="A388" s="21" t="n">
        <v>2022</v>
      </c>
      <c r="B388" s="22" t="inlineStr">
        <is>
          <t>ol43押金，感谢参与～</t>
        </is>
      </c>
      <c r="C388" s="22" t="inlineStr">
        <is>
          <t>OL-D</t>
        </is>
      </c>
      <c r="D388" s="21">
        <f>VLOOKUP(C388,journal_to_ledger!B:E,4,FALSE)</f>
        <v/>
      </c>
    </row>
    <row r="389">
      <c r="A389" s="21" t="n">
        <v>2022</v>
      </c>
      <c r="B389" s="22" t="inlineStr">
        <is>
          <t>OL45 李宛泽</t>
        </is>
      </c>
      <c r="C389" s="22" t="inlineStr">
        <is>
          <t>OL</t>
        </is>
      </c>
      <c r="D389" s="21">
        <f>VLOOKUP(C389,journal_to_ledger!B:E,4,FALSE)</f>
        <v/>
      </c>
    </row>
    <row r="390">
      <c r="A390" s="21" t="n">
        <v>2022</v>
      </c>
      <c r="B390" s="22" t="inlineStr">
        <is>
          <t>OL45 王玺</t>
        </is>
      </c>
      <c r="C390" s="22" t="inlineStr">
        <is>
          <t>OL</t>
        </is>
      </c>
      <c r="D390" s="21">
        <f>VLOOKUP(C390,journal_to_ledger!B:E,4,FALSE)</f>
        <v/>
      </c>
    </row>
    <row r="391">
      <c r="A391" s="21" t="n">
        <v>2022</v>
      </c>
      <c r="B391" s="22" t="inlineStr">
        <is>
          <t>赞赏码</t>
        </is>
      </c>
      <c r="C391" s="22" t="inlineStr">
        <is>
          <t>赞赏</t>
        </is>
      </c>
      <c r="D391" s="21">
        <f>VLOOKUP(C391,journal_to_ledger!B:E,4,FALSE)</f>
        <v/>
      </c>
    </row>
    <row r="392">
      <c r="A392" s="21" t="n">
        <v>2022</v>
      </c>
      <c r="B392" s="22" t="inlineStr">
        <is>
          <t>转账</t>
        </is>
      </c>
      <c r="C392" s="22" t="inlineStr">
        <is>
          <t>OL-D</t>
        </is>
      </c>
      <c r="D392" s="21">
        <f>VLOOKUP(C392,journal_to_ledger!B:E,4,FALSE)</f>
        <v/>
      </c>
    </row>
    <row r="393">
      <c r="A393" s="21" t="n">
        <v>2023</v>
      </c>
      <c r="B393" s="22" t="inlineStr">
        <is>
          <t>转账</t>
        </is>
      </c>
      <c r="C393" s="22" t="inlineStr">
        <is>
          <t>/</t>
        </is>
      </c>
      <c r="D393" s="21">
        <f>VLOOKUP(C393,journal_to_ledger!B:E,4,FALSE)</f>
        <v/>
      </c>
    </row>
    <row r="394">
      <c r="A394" s="21" t="n">
        <v>2023</v>
      </c>
      <c r="B394" s="22" t="inlineStr">
        <is>
          <t>李硕+OL45</t>
        </is>
      </c>
      <c r="C394" s="22" t="inlineStr">
        <is>
          <t>OL</t>
        </is>
      </c>
      <c r="D394" s="21">
        <f>VLOOKUP(C394,journal_to_ledger!B:E,4,FALSE)</f>
        <v/>
      </c>
    </row>
    <row r="395">
      <c r="A395" s="21" t="n">
        <v>2023</v>
      </c>
      <c r="B395" s="22" t="inlineStr">
        <is>
          <t>OL45洪婧</t>
        </is>
      </c>
      <c r="C395" s="22" t="inlineStr">
        <is>
          <t>OL</t>
        </is>
      </c>
      <c r="D395" s="21">
        <f>VLOOKUP(C395,journal_to_ledger!B:E,4,FALSE)</f>
        <v/>
      </c>
    </row>
    <row r="396">
      <c r="A396" s="21" t="n">
        <v>2023</v>
      </c>
      <c r="B396" s="22" t="inlineStr">
        <is>
          <t>OL45陈蔚</t>
        </is>
      </c>
      <c r="C396" s="22" t="inlineStr">
        <is>
          <t>OL</t>
        </is>
      </c>
      <c r="D396" s="21">
        <f>VLOOKUP(C396,journal_to_ledger!B:E,4,FALSE)</f>
        <v/>
      </c>
    </row>
    <row r="397">
      <c r="A397" s="21" t="n">
        <v>2023</v>
      </c>
      <c r="B397" s="22" t="inlineStr">
        <is>
          <t>OL45+陈家利</t>
        </is>
      </c>
      <c r="C397" s="22" t="inlineStr">
        <is>
          <t>OL</t>
        </is>
      </c>
      <c r="D397" s="21">
        <f>VLOOKUP(C397,journal_to_ledger!B:E,4,FALSE)</f>
        <v/>
      </c>
    </row>
    <row r="398">
      <c r="A398" s="21" t="n">
        <v>2023</v>
      </c>
      <c r="B398" s="22" t="inlineStr">
        <is>
          <t>OL45林思萍</t>
        </is>
      </c>
      <c r="C398" s="22" t="inlineStr">
        <is>
          <t>OL</t>
        </is>
      </c>
      <c r="D398" s="21">
        <f>VLOOKUP(C398,journal_to_ledger!B:E,4,FALSE)</f>
        <v/>
      </c>
    </row>
    <row r="399">
      <c r="A399" s="21" t="n">
        <v>2023</v>
      </c>
      <c r="B399" s="22" t="inlineStr">
        <is>
          <t>OL45 刘逸飞</t>
        </is>
      </c>
      <c r="C399" s="22" t="inlineStr">
        <is>
          <t>OL</t>
        </is>
      </c>
      <c r="D399" s="21">
        <f>VLOOKUP(C399,journal_to_ledger!B:E,4,FALSE)</f>
        <v/>
      </c>
    </row>
    <row r="400">
      <c r="A400" s="21" t="n">
        <v>2023</v>
      </c>
      <c r="B400" s="22" t="inlineStr">
        <is>
          <t>转账</t>
        </is>
      </c>
      <c r="C400" s="22" t="inlineStr">
        <is>
          <t>OL</t>
        </is>
      </c>
      <c r="D400" s="21">
        <f>VLOOKUP(C400,journal_to_ledger!B:E,4,FALSE)</f>
        <v/>
      </c>
    </row>
    <row r="401">
      <c r="A401" s="21" t="n">
        <v>2023</v>
      </c>
      <c r="B401" s="22" t="inlineStr">
        <is>
          <t>田露 OL45线上课程押金</t>
        </is>
      </c>
      <c r="C401" s="22" t="inlineStr">
        <is>
          <t>OL</t>
        </is>
      </c>
      <c r="D401" s="21">
        <f>VLOOKUP(C401,journal_to_ledger!B:E,4,FALSE)</f>
        <v/>
      </c>
    </row>
    <row r="402">
      <c r="A402" s="21" t="n">
        <v>2023</v>
      </c>
      <c r="B402" s="22" t="inlineStr">
        <is>
          <t>OL45吴承霖</t>
        </is>
      </c>
      <c r="C402" s="22" t="inlineStr">
        <is>
          <t>OL</t>
        </is>
      </c>
      <c r="D402" s="21">
        <f>VLOOKUP(C402,journal_to_ledger!B:E,4,FALSE)</f>
        <v/>
      </c>
    </row>
    <row r="403">
      <c r="A403" s="21" t="n">
        <v>2023</v>
      </c>
      <c r="B403" s="22" t="inlineStr">
        <is>
          <t>Transfer</t>
        </is>
      </c>
      <c r="C403" s="22" t="inlineStr">
        <is>
          <t>OL</t>
        </is>
      </c>
      <c r="D403" s="21">
        <f>VLOOKUP(C403,journal_to_ledger!B:E,4,FALSE)</f>
        <v/>
      </c>
    </row>
    <row r="404">
      <c r="A404" s="21" t="n">
        <v>2023</v>
      </c>
      <c r="B404" s="22" t="inlineStr">
        <is>
          <t>退课费用，希望下次见到你～</t>
        </is>
      </c>
      <c r="C404" s="22" t="inlineStr">
        <is>
          <t>OL</t>
        </is>
      </c>
      <c r="D404" s="21">
        <f>VLOOKUP(C404,journal_to_ledger!B:E,4,FALSE)</f>
        <v/>
      </c>
    </row>
    <row r="405">
      <c r="A405" s="21" t="n">
        <v>2023</v>
      </c>
      <c r="B405" s="22" t="inlineStr">
        <is>
          <t>OL45+赵子涵</t>
        </is>
      </c>
      <c r="C405" s="22" t="inlineStr">
        <is>
          <t>OL</t>
        </is>
      </c>
      <c r="D405" s="21">
        <f>VLOOKUP(C405,journal_to_ledger!B:E,4,FALSE)</f>
        <v/>
      </c>
    </row>
    <row r="406">
      <c r="A406" s="21" t="n">
        <v>2023</v>
      </c>
      <c r="B406" s="22" t="inlineStr">
        <is>
          <t>OL45 张子筱</t>
        </is>
      </c>
      <c r="C406" s="22" t="inlineStr">
        <is>
          <t>OL</t>
        </is>
      </c>
      <c r="D406" s="21">
        <f>VLOOKUP(C406,journal_to_ledger!B:E,4,FALSE)</f>
        <v/>
      </c>
    </row>
    <row r="407">
      <c r="A407" s="21" t="n">
        <v>2023</v>
      </c>
      <c r="B407" s="22" t="inlineStr">
        <is>
          <t>OL45+王君</t>
        </is>
      </c>
      <c r="C407" s="22" t="inlineStr">
        <is>
          <t>OL</t>
        </is>
      </c>
      <c r="D407" s="21">
        <f>VLOOKUP(C407,journal_to_ledger!B:E,4,FALSE)</f>
        <v/>
      </c>
    </row>
    <row r="408">
      <c r="A408" s="21" t="n">
        <v>2023</v>
      </c>
      <c r="B408" s="22" t="inlineStr">
        <is>
          <t>课程费349+150押金</t>
        </is>
      </c>
      <c r="C408" s="22" t="inlineStr">
        <is>
          <t>OL</t>
        </is>
      </c>
      <c r="D408" s="21">
        <f>VLOOKUP(C408,journal_to_ledger!B:E,4,FALSE)</f>
        <v/>
      </c>
    </row>
    <row r="409">
      <c r="A409" s="21" t="n">
        <v>2023</v>
      </c>
      <c r="B409" s="22" t="inlineStr">
        <is>
          <t>OL46 郭然</t>
        </is>
      </c>
      <c r="C409" s="22" t="inlineStr">
        <is>
          <t>OL</t>
        </is>
      </c>
      <c r="D409" s="21">
        <f>VLOOKUP(C409,journal_to_ledger!B:E,4,FALSE)</f>
        <v/>
      </c>
    </row>
    <row r="410">
      <c r="A410" s="21" t="n">
        <v>2023</v>
      </c>
      <c r="B410" s="22" t="inlineStr">
        <is>
          <t>OL46 徐悦珈</t>
        </is>
      </c>
      <c r="C410" s="22" t="inlineStr">
        <is>
          <t>OL</t>
        </is>
      </c>
      <c r="D410" s="21">
        <f>VLOOKUP(C410,journal_to_ledger!B:E,4,FALSE)</f>
        <v/>
      </c>
    </row>
    <row r="411">
      <c r="A411" s="21" t="n">
        <v>2023</v>
      </c>
      <c r="B411" s="22" t="inlineStr">
        <is>
          <t>OL46+毛远逸</t>
        </is>
      </c>
      <c r="C411" s="22" t="inlineStr">
        <is>
          <t>OL</t>
        </is>
      </c>
      <c r="D411" s="21">
        <f>VLOOKUP(C411,journal_to_ledger!B:E,4,FALSE)</f>
        <v/>
      </c>
    </row>
    <row r="412">
      <c r="A412" s="21" t="n">
        <v>2023</v>
      </c>
      <c r="B412" s="22" t="inlineStr">
        <is>
          <t>黄冬妮 OL46</t>
        </is>
      </c>
      <c r="C412" s="22" t="inlineStr">
        <is>
          <t>OL</t>
        </is>
      </c>
      <c r="D412" s="21">
        <f>VLOOKUP(C412,journal_to_ledger!B:E,4,FALSE)</f>
        <v/>
      </c>
    </row>
    <row r="413">
      <c r="A413" s="21" t="n">
        <v>2023</v>
      </c>
      <c r="B413" s="22" t="inlineStr">
        <is>
          <t>OL46+金昊堉</t>
        </is>
      </c>
      <c r="C413" s="22" t="inlineStr">
        <is>
          <t>OL</t>
        </is>
      </c>
      <c r="D413" s="21">
        <f>VLOOKUP(C413,journal_to_ledger!B:E,4,FALSE)</f>
        <v/>
      </c>
    </row>
    <row r="414">
      <c r="A414" s="21" t="n">
        <v>2023</v>
      </c>
      <c r="B414" s="22" t="inlineStr">
        <is>
          <t>李思曼OL46</t>
        </is>
      </c>
      <c r="C414" s="22" t="inlineStr">
        <is>
          <t>OL</t>
        </is>
      </c>
      <c r="D414" s="21">
        <f>VLOOKUP(C414,journal_to_ledger!B:E,4,FALSE)</f>
        <v/>
      </c>
    </row>
    <row r="415">
      <c r="A415" s="21" t="n">
        <v>2023</v>
      </c>
      <c r="B415" s="22" t="inlineStr">
        <is>
          <t>丁一鸣</t>
        </is>
      </c>
      <c r="C415" s="22" t="inlineStr">
        <is>
          <t>OL</t>
        </is>
      </c>
      <c r="D415" s="21">
        <f>VLOOKUP(C415,journal_to_ledger!B:E,4,FALSE)</f>
        <v/>
      </c>
    </row>
    <row r="416">
      <c r="A416" s="21" t="n">
        <v>2023</v>
      </c>
      <c r="B416" s="22" t="inlineStr">
        <is>
          <t>OL46 邹恒</t>
        </is>
      </c>
      <c r="C416" s="22" t="inlineStr">
        <is>
          <t>OL</t>
        </is>
      </c>
      <c r="D416" s="21">
        <f>VLOOKUP(C416,journal_to_ledger!B:E,4,FALSE)</f>
        <v/>
      </c>
    </row>
    <row r="417">
      <c r="A417" s="21" t="n">
        <v>2023</v>
      </c>
      <c r="B417" s="22" t="inlineStr">
        <is>
          <t>OL46+黄媛媛</t>
        </is>
      </c>
      <c r="C417" s="22" t="inlineStr">
        <is>
          <t>OL</t>
        </is>
      </c>
      <c r="D417" s="21">
        <f>VLOOKUP(C417,journal_to_ledger!B:E,4,FALSE)</f>
        <v/>
      </c>
    </row>
    <row r="418">
      <c r="A418" s="21" t="n">
        <v>2023</v>
      </c>
      <c r="B418" s="22" t="inlineStr">
        <is>
          <t>互联网治理课程学费＋押金=陈婷</t>
        </is>
      </c>
      <c r="C418" s="22" t="inlineStr">
        <is>
          <t>OL</t>
        </is>
      </c>
      <c r="D418" s="21">
        <f>VLOOKUP(C418,journal_to_ledger!B:E,4,FALSE)</f>
        <v/>
      </c>
    </row>
    <row r="419">
      <c r="A419" s="21" t="n">
        <v>2023</v>
      </c>
      <c r="B419" s="22" t="inlineStr">
        <is>
          <t>OL47 冼楚翘</t>
        </is>
      </c>
      <c r="C419" s="22" t="inlineStr">
        <is>
          <t>OL</t>
        </is>
      </c>
      <c r="D419" s="21">
        <f>VLOOKUP(C419,journal_to_ledger!B:E,4,FALSE)</f>
        <v/>
      </c>
    </row>
    <row r="420">
      <c r="A420" s="21" t="n">
        <v>2023</v>
      </c>
      <c r="B420" s="22" t="inlineStr">
        <is>
          <t>OL47 秦栋廷</t>
        </is>
      </c>
      <c r="C420" s="22" t="inlineStr">
        <is>
          <t>OL</t>
        </is>
      </c>
      <c r="D420" s="21">
        <f>VLOOKUP(C420,journal_to_ledger!B:E,4,FALSE)</f>
        <v/>
      </c>
    </row>
    <row r="421">
      <c r="A421" s="21" t="n">
        <v>2023</v>
      </c>
      <c r="B421" s="22" t="inlineStr">
        <is>
          <t>OL47 刘玥言</t>
        </is>
      </c>
      <c r="C421" s="22" t="inlineStr">
        <is>
          <t>OL</t>
        </is>
      </c>
      <c r="D421" s="21">
        <f>VLOOKUP(C421,journal_to_ledger!B:E,4,FALSE)</f>
        <v/>
      </c>
    </row>
    <row r="422">
      <c r="A422" s="21" t="n">
        <v>2023</v>
      </c>
      <c r="B422" s="22" t="inlineStr">
        <is>
          <t>OL47+缪涵</t>
        </is>
      </c>
      <c r="C422" s="22" t="inlineStr">
        <is>
          <t>OL</t>
        </is>
      </c>
      <c r="D422" s="21">
        <f>VLOOKUP(C422,journal_to_ledger!B:E,4,FALSE)</f>
        <v/>
      </c>
    </row>
    <row r="423">
      <c r="A423" s="21" t="n">
        <v>2023</v>
      </c>
      <c r="B423" s="22" t="inlineStr">
        <is>
          <t>OL47郑锦懿 含押金</t>
        </is>
      </c>
      <c r="C423" s="22" t="inlineStr">
        <is>
          <t>OL</t>
        </is>
      </c>
      <c r="D423" s="21">
        <f>VLOOKUP(C423,journal_to_ledger!B:E,4,FALSE)</f>
        <v/>
      </c>
    </row>
    <row r="424">
      <c r="A424" s="21" t="n">
        <v>2023</v>
      </c>
      <c r="B424" s="22" t="inlineStr">
        <is>
          <t>OL47 刘逸飞</t>
        </is>
      </c>
      <c r="C424" s="22" t="inlineStr">
        <is>
          <t>OL</t>
        </is>
      </c>
      <c r="D424" s="21">
        <f>VLOOKUP(C424,journal_to_ledger!B:E,4,FALSE)</f>
        <v/>
      </c>
    </row>
    <row r="425">
      <c r="A425" s="21" t="n">
        <v>2023</v>
      </c>
      <c r="B425" s="22" t="inlineStr">
        <is>
          <t>陈家宜 OL47付费</t>
        </is>
      </c>
      <c r="C425" s="22" t="inlineStr">
        <is>
          <t>OL</t>
        </is>
      </c>
      <c r="D425" s="21">
        <f>VLOOKUP(C425,journal_to_ledger!B:E,4,FALSE)</f>
        <v/>
      </c>
    </row>
    <row r="426">
      <c r="A426" s="21" t="n">
        <v>2023</v>
      </c>
      <c r="B426" s="22" t="inlineStr">
        <is>
          <t>OL47+李明昊</t>
        </is>
      </c>
      <c r="C426" s="22" t="inlineStr">
        <is>
          <t>OL</t>
        </is>
      </c>
      <c r="D426" s="21">
        <f>VLOOKUP(C426,journal_to_ledger!B:E,4,FALSE)</f>
        <v/>
      </c>
    </row>
    <row r="427">
      <c r="A427" s="21" t="n">
        <v>2023</v>
      </c>
      <c r="B427" s="22" t="inlineStr">
        <is>
          <t>OL47歌者</t>
        </is>
      </c>
      <c r="C427" s="22" t="inlineStr">
        <is>
          <t>OL</t>
        </is>
      </c>
      <c r="D427" s="21">
        <f>VLOOKUP(C427,journal_to_ledger!B:E,4,FALSE)</f>
        <v/>
      </c>
    </row>
    <row r="428">
      <c r="A428" s="21" t="n">
        <v>2023</v>
      </c>
      <c r="B428" s="22" t="inlineStr">
        <is>
          <t>OL47+张恬歌</t>
        </is>
      </c>
      <c r="C428" s="22" t="inlineStr">
        <is>
          <t>OL</t>
        </is>
      </c>
      <c r="D428" s="21">
        <f>VLOOKUP(C428,journal_to_ledger!B:E,4,FALSE)</f>
        <v/>
      </c>
    </row>
    <row r="429">
      <c r="A429" s="21" t="n">
        <v>2023</v>
      </c>
      <c r="B429" s="22" t="inlineStr">
        <is>
          <t>韩清文</t>
        </is>
      </c>
      <c r="C429" s="22" t="inlineStr">
        <is>
          <t>OL</t>
        </is>
      </c>
      <c r="D429" s="21">
        <f>VLOOKUP(C429,journal_to_ledger!B:E,4,FALSE)</f>
        <v/>
      </c>
    </row>
    <row r="430">
      <c r="A430" s="21" t="n">
        <v>2023</v>
      </c>
      <c r="B430" s="22" t="inlineStr">
        <is>
          <t>OL48+王馨媛</t>
        </is>
      </c>
      <c r="C430" s="22" t="inlineStr">
        <is>
          <t>OL</t>
        </is>
      </c>
      <c r="D430" s="21">
        <f>VLOOKUP(C430,journal_to_ledger!B:E,4,FALSE)</f>
        <v/>
      </c>
    </row>
    <row r="431">
      <c r="A431" s="21" t="n">
        <v>2023</v>
      </c>
      <c r="B431" s="22" t="inlineStr">
        <is>
          <t>OL48+查斯</t>
        </is>
      </c>
      <c r="C431" s="22" t="inlineStr">
        <is>
          <t>OL</t>
        </is>
      </c>
      <c r="D431" s="21">
        <f>VLOOKUP(C431,journal_to_ledger!B:E,4,FALSE)</f>
        <v/>
      </c>
    </row>
    <row r="432">
      <c r="A432" s="21" t="n">
        <v>2023</v>
      </c>
      <c r="B432" s="22" t="inlineStr">
        <is>
          <t>OL48+林悦</t>
        </is>
      </c>
      <c r="C432" s="22" t="inlineStr">
        <is>
          <t>OL</t>
        </is>
      </c>
      <c r="D432" s="21">
        <f>VLOOKUP(C432,journal_to_ledger!B:E,4,FALSE)</f>
        <v/>
      </c>
    </row>
    <row r="433">
      <c r="A433" s="21" t="n">
        <v>2023</v>
      </c>
      <c r="B433" s="22" t="inlineStr">
        <is>
          <t>OL48 陈沛君</t>
        </is>
      </c>
      <c r="C433" s="22" t="inlineStr">
        <is>
          <t>OL</t>
        </is>
      </c>
      <c r="D433" s="21">
        <f>VLOOKUP(C433,journal_to_ledger!B:E,4,FALSE)</f>
        <v/>
      </c>
    </row>
    <row r="434">
      <c r="A434" s="21" t="n">
        <v>2023</v>
      </c>
      <c r="B434" s="22" t="inlineStr">
        <is>
          <t>OL48 周铮</t>
        </is>
      </c>
      <c r="C434" s="22" t="inlineStr">
        <is>
          <t>OL</t>
        </is>
      </c>
      <c r="D434" s="21">
        <f>VLOOKUP(C434,journal_to_ledger!B:E,4,FALSE)</f>
        <v/>
      </c>
    </row>
    <row r="435">
      <c r="A435" s="21" t="n">
        <v>2023</v>
      </c>
      <c r="B435" s="22" t="inlineStr">
        <is>
          <t>OL48 李薇薇</t>
        </is>
      </c>
      <c r="C435" s="22" t="inlineStr">
        <is>
          <t>OL</t>
        </is>
      </c>
      <c r="D435" s="21">
        <f>VLOOKUP(C435,journal_to_ledger!B:E,4,FALSE)</f>
        <v/>
      </c>
    </row>
    <row r="436">
      <c r="A436" s="21" t="n">
        <v>2023</v>
      </c>
      <c r="B436" s="22" t="inlineStr">
        <is>
          <t>OL48 黄冬妮</t>
        </is>
      </c>
      <c r="C436" s="22" t="inlineStr">
        <is>
          <t>OL</t>
        </is>
      </c>
      <c r="D436" s="21">
        <f>VLOOKUP(C436,journal_to_ledger!B:E,4,FALSE)</f>
        <v/>
      </c>
    </row>
    <row r="437">
      <c r="A437" s="21" t="n">
        <v>2023</v>
      </c>
      <c r="B437" s="22" t="inlineStr">
        <is>
          <t>OL48+拉雍</t>
        </is>
      </c>
      <c r="C437" s="22" t="inlineStr">
        <is>
          <t>OL</t>
        </is>
      </c>
      <c r="D437" s="21">
        <f>VLOOKUP(C437,journal_to_ledger!B:E,4,FALSE)</f>
        <v/>
      </c>
    </row>
    <row r="438">
      <c r="A438" s="21" t="n">
        <v>2023</v>
      </c>
      <c r="B438" s="22" t="inlineStr">
        <is>
          <t>OL48巩开慧</t>
        </is>
      </c>
      <c r="C438" s="22" t="inlineStr">
        <is>
          <t>OL</t>
        </is>
      </c>
      <c r="D438" s="21">
        <f>VLOOKUP(C438,journal_to_ledger!B:E,4,FALSE)</f>
        <v/>
      </c>
    </row>
    <row r="439">
      <c r="A439" s="21" t="n">
        <v>2023</v>
      </c>
      <c r="B439" s="22" t="inlineStr">
        <is>
          <t>OL48张舒宜</t>
        </is>
      </c>
      <c r="C439" s="22" t="inlineStr">
        <is>
          <t>OL</t>
        </is>
      </c>
      <c r="D439" s="21">
        <f>VLOOKUP(C439,journal_to_ledger!B:E,4,FALSE)</f>
        <v/>
      </c>
    </row>
    <row r="440">
      <c r="A440" s="21" t="n">
        <v>2023</v>
      </c>
      <c r="B440" s="22" t="inlineStr">
        <is>
          <t>OL48崔智�B</t>
        </is>
      </c>
      <c r="C440" s="22" t="inlineStr">
        <is>
          <t>OL</t>
        </is>
      </c>
      <c r="D440" s="21">
        <f>VLOOKUP(C440,journal_to_ledger!B:E,4,FALSE)</f>
        <v/>
      </c>
    </row>
    <row r="441">
      <c r="A441" s="21" t="n">
        <v>2023</v>
      </c>
      <c r="B441" s="22" t="inlineStr">
        <is>
          <t>OL48+孙珊</t>
        </is>
      </c>
      <c r="C441" s="22" t="inlineStr">
        <is>
          <t>OL</t>
        </is>
      </c>
      <c r="D441" s="21">
        <f>VLOOKUP(C441,journal_to_ledger!B:E,4,FALSE)</f>
        <v/>
      </c>
    </row>
    <row r="442">
      <c r="A442" s="21" t="n">
        <v>2023</v>
      </c>
      <c r="B442" s="22" t="inlineStr">
        <is>
          <t>OL48+王亦乐</t>
        </is>
      </c>
      <c r="C442" s="22" t="inlineStr">
        <is>
          <t>OL</t>
        </is>
      </c>
      <c r="D442" s="21">
        <f>VLOOKUP(C442,journal_to_ledger!B:E,4,FALSE)</f>
        <v/>
      </c>
    </row>
    <row r="443">
      <c r="A443" s="21" t="n">
        <v>2023</v>
      </c>
      <c r="B443" s="22" t="inlineStr">
        <is>
          <t>OL48 程自钊</t>
        </is>
      </c>
      <c r="C443" s="22" t="inlineStr">
        <is>
          <t>OL</t>
        </is>
      </c>
      <c r="D443" s="21">
        <f>VLOOKUP(C443,journal_to_ledger!B:E,4,FALSE)</f>
        <v/>
      </c>
    </row>
    <row r="444">
      <c r="A444" s="21" t="n">
        <v>2023</v>
      </c>
      <c r="B444" s="22" t="inlineStr">
        <is>
          <t>ol48押金陈蔚</t>
        </is>
      </c>
      <c r="C444" s="22" t="inlineStr">
        <is>
          <t>OL</t>
        </is>
      </c>
      <c r="D444" s="21">
        <f>VLOOKUP(C444,journal_to_ledger!B:E,4,FALSE)</f>
        <v/>
      </c>
    </row>
    <row r="445">
      <c r="A445" s="21" t="n">
        <v>2023</v>
      </c>
      <c r="B445" s="22" t="inlineStr">
        <is>
          <t>ol44押金，感谢参与～</t>
        </is>
      </c>
      <c r="C445" s="22" t="inlineStr">
        <is>
          <t>OL-D</t>
        </is>
      </c>
      <c r="D445" s="21">
        <f>VLOOKUP(C445,journal_to_ledger!B:E,4,FALSE)</f>
        <v/>
      </c>
    </row>
    <row r="446">
      <c r="A446" s="21" t="n">
        <v>2023</v>
      </c>
      <c r="B446" s="22" t="inlineStr">
        <is>
          <t>ol37押金退还，抱歉转账迟了！</t>
        </is>
      </c>
      <c r="C446" s="22" t="inlineStr">
        <is>
          <t>OL-D</t>
        </is>
      </c>
      <c r="D446" s="21">
        <f>VLOOKUP(C446,journal_to_ledger!B:E,4,FALSE)</f>
        <v/>
      </c>
    </row>
    <row r="447">
      <c r="A447" s="21" t="n">
        <v>2023</v>
      </c>
      <c r="B447" s="22" t="inlineStr">
        <is>
          <t>ol45退款，感谢参与～</t>
        </is>
      </c>
      <c r="C447" s="22" t="inlineStr">
        <is>
          <t>OL-D</t>
        </is>
      </c>
      <c r="D447" s="21">
        <f>VLOOKUP(C447,journal_to_ledger!B:E,4,FALSE)</f>
        <v/>
      </c>
    </row>
    <row r="448">
      <c r="A448" s="21" t="n">
        <v>2023</v>
      </c>
      <c r="B448" s="22" t="inlineStr">
        <is>
          <t>ol46退押金，感谢参与～</t>
        </is>
      </c>
      <c r="C448" s="22" t="inlineStr">
        <is>
          <t>OL-D</t>
        </is>
      </c>
      <c r="D448" s="21">
        <f>VLOOKUP(C448,journal_to_ledger!B:E,4,FALSE)</f>
        <v/>
      </c>
    </row>
    <row r="449">
      <c r="A449" s="21" t="n">
        <v>2023</v>
      </c>
      <c r="B449" s="22" t="inlineStr">
        <is>
          <t>同行优惠退款</t>
        </is>
      </c>
      <c r="C449" s="22" t="inlineStr">
        <is>
          <t>OL-D</t>
        </is>
      </c>
      <c r="D449" s="21">
        <f>VLOOKUP(C449,journal_to_ledger!B:E,4,FALSE)</f>
        <v/>
      </c>
    </row>
    <row r="450">
      <c r="A450" s="21" t="n">
        <v>2023</v>
      </c>
      <c r="B450" s="22" t="inlineStr">
        <is>
          <t>ol48押金，感谢你的参与～</t>
        </is>
      </c>
      <c r="C450" s="22" t="inlineStr">
        <is>
          <t>OL-D</t>
        </is>
      </c>
      <c r="D450" s="21">
        <f>VLOOKUP(C450,journal_to_ledger!B:E,4,FALSE)</f>
        <v/>
      </c>
    </row>
    <row r="451">
      <c r="A451" s="21" t="n">
        <v>2023</v>
      </c>
      <c r="B451" s="22" t="inlineStr">
        <is>
          <t>ol48押金+多转了50，感谢你的参与～</t>
        </is>
      </c>
      <c r="C451" s="22" t="inlineStr">
        <is>
          <t>OL-D</t>
        </is>
      </c>
      <c r="D451" s="21">
        <f>VLOOKUP(C451,journal_to_ledger!B:E,4,FALSE)</f>
        <v/>
      </c>
    </row>
    <row r="452">
      <c r="A452" s="21" t="n">
        <v>2023</v>
      </c>
      <c r="B452" s="22" t="inlineStr">
        <is>
          <t>ol46退押金+助学金，感谢参与～</t>
        </is>
      </c>
      <c r="C452" s="22" t="inlineStr">
        <is>
          <t>OL-D&amp;OL助学金</t>
        </is>
      </c>
      <c r="D452" s="21">
        <f>VLOOKUP(C452,journal_to_ledger!B:E,4,FALSE)</f>
        <v/>
      </c>
    </row>
    <row r="453">
      <c r="A453" s="21" t="n">
        <v>2023</v>
      </c>
      <c r="B453" s="22" t="inlineStr">
        <is>
          <t>课程退款，希望下次见到你～</t>
        </is>
      </c>
      <c r="C453" s="22" t="inlineStr">
        <is>
          <t>OL-N</t>
        </is>
      </c>
      <c r="D453" s="21">
        <f>VLOOKUP(C453,journal_to_ledger!B:E,4,FALSE)</f>
        <v/>
      </c>
    </row>
    <row r="454">
      <c r="A454" s="21" t="n">
        <v>2023</v>
      </c>
      <c r="B454" s="22" t="inlineStr">
        <is>
          <t>向锦辉Ol46学费[emoji]\u2795[/emoji]押金</t>
        </is>
      </c>
      <c r="C454" s="22" t="inlineStr">
        <is>
          <t>OL-N</t>
        </is>
      </c>
      <c r="D454" s="21">
        <f>VLOOKUP(C454,journal_to_ledger!B:E,4,FALSE)</f>
        <v/>
      </c>
    </row>
    <row r="455">
      <c r="A455" s="21" t="n">
        <v>2023</v>
      </c>
      <c r="B455" s="22" t="inlineStr">
        <is>
          <t>Ol46退款，希望下次见到你～</t>
        </is>
      </c>
      <c r="C455" s="22" t="inlineStr">
        <is>
          <t>OL-N</t>
        </is>
      </c>
      <c r="D455" s="21">
        <f>VLOOKUP(C455,journal_to_ledger!B:E,4,FALSE)</f>
        <v/>
      </c>
    </row>
    <row r="456">
      <c r="A456" s="21" t="n">
        <v>2023</v>
      </c>
      <c r="B456" s="22" t="inlineStr">
        <is>
          <t>ol47退款，希望下次见到你～</t>
        </is>
      </c>
      <c r="C456" s="22" t="inlineStr">
        <is>
          <t>OL-N</t>
        </is>
      </c>
      <c r="D456" s="21">
        <f>VLOOKUP(C456,journal_to_ledger!B:E,4,FALSE)</f>
        <v/>
      </c>
    </row>
    <row r="457">
      <c r="A457" s="21" t="n">
        <v>2023</v>
      </c>
      <c r="B457" s="22" t="inlineStr">
        <is>
          <t>ol47退款+奖学金，感谢参与～</t>
        </is>
      </c>
      <c r="C457" s="22" t="inlineStr">
        <is>
          <t>OL-N</t>
        </is>
      </c>
      <c r="D457" s="21">
        <f>VLOOKUP(C457,journal_to_ledger!B:E,4,FALSE)</f>
        <v/>
      </c>
    </row>
    <row r="458">
      <c r="A458" s="21" t="n">
        <v>2023</v>
      </c>
      <c r="B458" s="22" t="inlineStr">
        <is>
          <t>ol47退款+奖学金，谢谢参与～</t>
        </is>
      </c>
      <c r="C458" s="22" t="inlineStr">
        <is>
          <t>OL-N</t>
        </is>
      </c>
      <c r="D458" s="21">
        <f>VLOOKUP(C458,journal_to_ledger!B:E,4,FALSE)</f>
        <v/>
      </c>
    </row>
    <row r="459">
      <c r="A459" s="21" t="n">
        <v>2023</v>
      </c>
      <c r="B459" s="22" t="inlineStr">
        <is>
          <t>ol47退押金+奖学金，感谢参与～</t>
        </is>
      </c>
      <c r="C459" s="22" t="inlineStr">
        <is>
          <t>OL-N</t>
        </is>
      </c>
      <c r="D459" s="21">
        <f>VLOOKUP(C459,journal_to_ledger!B:E,4,FALSE)</f>
        <v/>
      </c>
    </row>
    <row r="460">
      <c r="A460" s="21" t="n">
        <v>2023</v>
      </c>
      <c r="B460" s="22" t="inlineStr">
        <is>
          <t>ol46奖学金</t>
        </is>
      </c>
      <c r="C460" s="22" t="inlineStr">
        <is>
          <t>OL-奖学金</t>
        </is>
      </c>
      <c r="D460" s="21">
        <f>VLOOKUP(C460,journal_to_ledger!B:E,4,FALSE)</f>
        <v/>
      </c>
    </row>
    <row r="461">
      <c r="A461" s="21" t="n">
        <v>2023</v>
      </c>
      <c r="B461" s="22" t="inlineStr">
        <is>
          <t>Ol44工资，谢谢参与～</t>
        </is>
      </c>
      <c r="C461" s="22" t="inlineStr">
        <is>
          <t>OL-讲师</t>
        </is>
      </c>
      <c r="D461" s="21">
        <f>VLOOKUP(C461,journal_to_ledger!B:E,4,FALSE)</f>
        <v/>
      </c>
    </row>
    <row r="462">
      <c r="A462" s="21" t="n">
        <v>2023</v>
      </c>
      <c r="B462" s="22" t="inlineStr">
        <is>
          <t>ol45工资，感谢参与～</t>
        </is>
      </c>
      <c r="C462" s="22" t="inlineStr">
        <is>
          <t>OL-讲师</t>
        </is>
      </c>
      <c r="D462" s="21">
        <f>VLOOKUP(C462,journal_to_ledger!B:E,4,FALSE)</f>
        <v/>
      </c>
    </row>
    <row r="463">
      <c r="A463" s="21" t="n">
        <v>2023</v>
      </c>
      <c r="B463" s="22" t="inlineStr">
        <is>
          <t>ol46工资，感谢～</t>
        </is>
      </c>
      <c r="C463" s="22" t="inlineStr">
        <is>
          <t>OL-讲师</t>
        </is>
      </c>
      <c r="D463" s="21">
        <f>VLOOKUP(C463,journal_to_ledger!B:E,4,FALSE)</f>
        <v/>
      </c>
    </row>
    <row r="464">
      <c r="A464" s="21" t="n">
        <v>2023</v>
      </c>
      <c r="B464" s="22" t="inlineStr">
        <is>
          <t>ol48 感谢～</t>
        </is>
      </c>
      <c r="C464" s="22" t="inlineStr">
        <is>
          <t>OL-讲师</t>
        </is>
      </c>
      <c r="D464" s="21">
        <f>VLOOKUP(C464,journal_to_ledger!B:E,4,FALSE)</f>
        <v/>
      </c>
    </row>
    <row r="465">
      <c r="A465" s="21" t="n">
        <v>2023</v>
      </c>
      <c r="B465" s="22" t="inlineStr">
        <is>
          <t>王沾鹏，重庆德普外国语学校</t>
        </is>
      </c>
      <c r="C465" s="22" t="inlineStr">
        <is>
          <t>书院</t>
        </is>
      </c>
      <c r="D465" s="21">
        <f>VLOOKUP(C465,journal_to_ledger!B:E,4,FALSE)</f>
        <v/>
      </c>
    </row>
    <row r="466">
      <c r="A466" s="21" t="n">
        <v>2023</v>
      </c>
      <c r="B466" s="22" t="inlineStr">
        <is>
          <t>赵赫男（西安翻译学院）2023唯理书院缴费</t>
        </is>
      </c>
      <c r="C466" s="22" t="inlineStr">
        <is>
          <t>书院</t>
        </is>
      </c>
      <c r="D466" s="21">
        <f>VLOOKUP(C466,journal_to_ledger!B:E,4,FALSE)</f>
        <v/>
      </c>
    </row>
    <row r="467">
      <c r="A467" s="21" t="n">
        <v>2023</v>
      </c>
      <c r="B467" s="22" t="inlineStr">
        <is>
          <t>唯理书院 邱月 查大</t>
        </is>
      </c>
      <c r="C467" s="22" t="inlineStr">
        <is>
          <t>书院</t>
        </is>
      </c>
      <c r="D467" s="21">
        <f>VLOOKUP(C467,journal_to_ledger!B:E,4,FALSE)</f>
        <v/>
      </c>
    </row>
    <row r="468">
      <c r="A468" s="21" t="n">
        <v>2023</v>
      </c>
      <c r="B468" s="22" t="inlineStr">
        <is>
          <t>黎宝怡 广东外语外贸大学</t>
        </is>
      </c>
      <c r="C468" s="22" t="inlineStr">
        <is>
          <t>书院</t>
        </is>
      </c>
      <c r="D468" s="21">
        <f>VLOOKUP(C468,journal_to_ledger!B:E,4,FALSE)</f>
        <v/>
      </c>
    </row>
    <row r="469">
      <c r="A469" s="21" t="n">
        <v>2023</v>
      </c>
      <c r="B469" s="22" t="inlineStr">
        <is>
          <t>艾呈达，武汉体育学院</t>
        </is>
      </c>
      <c r="C469" s="22" t="inlineStr">
        <is>
          <t>书院</t>
        </is>
      </c>
      <c r="D469" s="21">
        <f>VLOOKUP(C469,journal_to_ledger!B:E,4,FALSE)</f>
        <v/>
      </c>
    </row>
    <row r="470">
      <c r="A470" s="21" t="n">
        <v>2023</v>
      </c>
      <c r="B470" s="22" t="inlineStr">
        <is>
          <t>郭允童 三水华侨中学</t>
        </is>
      </c>
      <c r="C470" s="22" t="inlineStr">
        <is>
          <t>书院</t>
        </is>
      </c>
      <c r="D470" s="21">
        <f>VLOOKUP(C470,journal_to_ledger!B:E,4,FALSE)</f>
        <v/>
      </c>
    </row>
    <row r="471">
      <c r="A471" s="21" t="n">
        <v>2023</v>
      </c>
      <c r="B471" s="22" t="inlineStr">
        <is>
          <t>2023柯宇涵</t>
        </is>
      </c>
      <c r="C471" s="22" t="inlineStr">
        <is>
          <t>书院</t>
        </is>
      </c>
      <c r="D471" s="21">
        <f>VLOOKUP(C471,journal_to_ledger!B:E,4,FALSE)</f>
        <v/>
      </c>
    </row>
    <row r="472">
      <c r="A472" s="21" t="n">
        <v>2023</v>
      </c>
      <c r="B472" s="22" t="inlineStr">
        <is>
          <t>邱诗珏 厦门外国语高中</t>
        </is>
      </c>
      <c r="C472" s="22" t="inlineStr">
        <is>
          <t>书院</t>
        </is>
      </c>
      <c r="D472" s="21">
        <f>VLOOKUP(C472,journal_to_ledger!B:E,4,FALSE)</f>
        <v/>
      </c>
    </row>
    <row r="473">
      <c r="A473" s="21" t="n">
        <v>2023</v>
      </c>
      <c r="B473" s="22" t="inlineStr">
        <is>
          <t>黎子毓 上海市建平中学（国际课程班）</t>
        </is>
      </c>
      <c r="C473" s="22" t="inlineStr">
        <is>
          <t>书院</t>
        </is>
      </c>
      <c r="D473" s="21">
        <f>VLOOKUP(C473,journal_to_ledger!B:E,4,FALSE)</f>
        <v/>
      </c>
    </row>
    <row r="474">
      <c r="A474" s="21" t="n">
        <v>2023</v>
      </c>
      <c r="B474" s="22" t="inlineStr">
        <is>
          <t>鄭傑元 复旦大学</t>
        </is>
      </c>
      <c r="C474" s="22" t="inlineStr">
        <is>
          <t>书院</t>
        </is>
      </c>
      <c r="D474" s="21">
        <f>VLOOKUP(C474,journal_to_ledger!B:E,4,FALSE)</f>
        <v/>
      </c>
    </row>
    <row r="475">
      <c r="A475" s="21" t="n">
        <v>2023</v>
      </c>
      <c r="B475" s="22" t="inlineStr">
        <is>
          <t>应雨瑶 深圳中学 唯理确认</t>
        </is>
      </c>
      <c r="C475" s="22" t="inlineStr">
        <is>
          <t>书院</t>
        </is>
      </c>
      <c r="D475" s="21">
        <f>VLOOKUP(C475,journal_to_ledger!B:E,4,FALSE)</f>
        <v/>
      </c>
    </row>
    <row r="476">
      <c r="A476" s="21" t="n">
        <v>2023</v>
      </c>
      <c r="B476" s="22" t="inlineStr">
        <is>
          <t>李沐晨，HFI</t>
        </is>
      </c>
      <c r="C476" s="22" t="inlineStr">
        <is>
          <t>书院</t>
        </is>
      </c>
      <c r="D476" s="21">
        <f>VLOOKUP(C476,journal_to_ledger!B:E,4,FALSE)</f>
        <v/>
      </c>
    </row>
    <row r="477">
      <c r="A477" s="21" t="n">
        <v>2023</v>
      </c>
      <c r="B477" s="22" t="inlineStr">
        <is>
          <t>王宁悦 杭州外国语学校</t>
        </is>
      </c>
      <c r="C477" s="22" t="inlineStr">
        <is>
          <t>书院</t>
        </is>
      </c>
      <c r="D477" s="21">
        <f>VLOOKUP(C477,journal_to_ledger!B:E,4,FALSE)</f>
        <v/>
      </c>
    </row>
    <row r="478">
      <c r="A478" s="21" t="n">
        <v>2023</v>
      </c>
      <c r="B478" s="22" t="inlineStr">
        <is>
          <t>丁一鸣 帝国理工</t>
        </is>
      </c>
      <c r="C478" s="22" t="inlineStr">
        <is>
          <t>书院</t>
        </is>
      </c>
      <c r="D478" s="21">
        <f>VLOOKUP(C478,journal_to_ledger!B:E,4,FALSE)</f>
        <v/>
      </c>
    </row>
    <row r="479">
      <c r="A479" s="21" t="n">
        <v>2023</v>
      </c>
      <c r="B479" s="22" t="inlineStr">
        <is>
          <t>许甲一，南京市金陵中学</t>
        </is>
      </c>
      <c r="C479" s="22" t="inlineStr">
        <is>
          <t>书院</t>
        </is>
      </c>
      <c r="D479" s="21">
        <f>VLOOKUP(C479,journal_to_ledger!B:E,4,FALSE)</f>
        <v/>
      </c>
    </row>
    <row r="480">
      <c r="A480" s="21" t="n">
        <v>2023</v>
      </c>
      <c r="B480" s="22" t="inlineStr">
        <is>
          <t>查斯 中央民族大学/ UCL</t>
        </is>
      </c>
      <c r="C480" s="22" t="inlineStr">
        <is>
          <t>书院</t>
        </is>
      </c>
      <c r="D480" s="21">
        <f>VLOOKUP(C480,journal_to_ledger!B:E,4,FALSE)</f>
        <v/>
      </c>
    </row>
    <row r="481">
      <c r="A481" s="21" t="n">
        <v>2023</v>
      </c>
      <c r="B481" s="22" t="inlineStr">
        <is>
          <t>张骁骏-美国普渡大学</t>
        </is>
      </c>
      <c r="C481" s="22" t="inlineStr">
        <is>
          <t>书院</t>
        </is>
      </c>
      <c r="D481" s="21">
        <f>VLOOKUP(C481,journal_to_ledger!B:E,4,FALSE)</f>
        <v/>
      </c>
    </row>
    <row r="482">
      <c r="A482" s="21" t="n">
        <v>2023</v>
      </c>
      <c r="B482" s="22" t="inlineStr">
        <is>
          <t>谷泓灿 Brighton College</t>
        </is>
      </c>
      <c r="C482" s="22" t="inlineStr">
        <is>
          <t>书院</t>
        </is>
      </c>
      <c r="D482" s="21">
        <f>VLOOKUP(C482,journal_to_ledger!B:E,4,FALSE)</f>
        <v/>
      </c>
    </row>
    <row r="483">
      <c r="A483" s="21" t="n">
        <v>2023</v>
      </c>
      <c r="B483" s="22" t="inlineStr">
        <is>
          <t>凌嘉亮 复旦大学</t>
        </is>
      </c>
      <c r="C483" s="22" t="inlineStr">
        <is>
          <t>书院</t>
        </is>
      </c>
      <c r="D483" s="21">
        <f>VLOOKUP(C483,journal_to_ledger!B:E,4,FALSE)</f>
        <v/>
      </c>
    </row>
    <row r="484">
      <c r="A484" s="21" t="n">
        <v>2023</v>
      </c>
      <c r="B484" s="22" t="inlineStr">
        <is>
          <t>陆嘉轩 无锡狄邦文理学校 2023唯理书院费用</t>
        </is>
      </c>
      <c r="C484" s="22" t="inlineStr">
        <is>
          <t>书院</t>
        </is>
      </c>
      <c r="D484" s="21">
        <f>VLOOKUP(C484,journal_to_ledger!B:E,4,FALSE)</f>
        <v/>
      </c>
    </row>
    <row r="485">
      <c r="A485" s="21" t="n">
        <v>2023</v>
      </c>
      <c r="B485" s="22" t="inlineStr">
        <is>
          <t>王睿婕，华东师范大学第二附属中学</t>
        </is>
      </c>
      <c r="C485" s="22" t="inlineStr">
        <is>
          <t>书院</t>
        </is>
      </c>
      <c r="D485" s="21">
        <f>VLOOKUP(C485,journal_to_ledger!B:E,4,FALSE)</f>
        <v/>
      </c>
    </row>
    <row r="486">
      <c r="A486" s="21" t="n">
        <v>2023</v>
      </c>
      <c r="B486" s="22" t="inlineStr">
        <is>
          <t>叶昊南，HFI（华南师范大学附属中学国际部）</t>
        </is>
      </c>
      <c r="C486" s="22" t="inlineStr">
        <is>
          <t>书院</t>
        </is>
      </c>
      <c r="D486" s="21">
        <f>VLOOKUP(C486,journal_to_ledger!B:E,4,FALSE)</f>
        <v/>
      </c>
    </row>
    <row r="487">
      <c r="A487" s="21" t="n">
        <v>2023</v>
      </c>
      <c r="B487" s="22" t="inlineStr">
        <is>
          <t>朴智贤 天津外国语大学附属外国语学校</t>
        </is>
      </c>
      <c r="C487" s="22" t="inlineStr">
        <is>
          <t>书院</t>
        </is>
      </c>
      <c r="D487" s="21">
        <f>VLOOKUP(C487,journal_to_ledger!B:E,4,FALSE)</f>
        <v/>
      </c>
    </row>
    <row r="488">
      <c r="A488" s="21" t="n">
        <v>2023</v>
      </c>
      <c r="B488" s="22" t="inlineStr">
        <is>
          <t>傅钰淇 牛津准大一</t>
        </is>
      </c>
      <c r="C488" s="22" t="inlineStr">
        <is>
          <t>书院</t>
        </is>
      </c>
      <c r="D488" s="21">
        <f>VLOOKUP(C488,journal_to_ledger!B:E,4,FALSE)</f>
        <v/>
      </c>
    </row>
    <row r="489">
      <c r="A489" s="21" t="n">
        <v>2023</v>
      </c>
      <c r="B489" s="22" t="inlineStr">
        <is>
          <t>袁愉嫣 帝国理工</t>
        </is>
      </c>
      <c r="C489" s="22" t="inlineStr">
        <is>
          <t>书院</t>
        </is>
      </c>
      <c r="D489" s="21">
        <f>VLOOKUP(C489,journal_to_ledger!B:E,4,FALSE)</f>
        <v/>
      </c>
    </row>
    <row r="490">
      <c r="A490" s="21" t="n">
        <v>2023</v>
      </c>
      <c r="B490" s="22" t="inlineStr">
        <is>
          <t>许扬扬 唯理书院早鸟价缴费 考陶德艺术学院</t>
        </is>
      </c>
      <c r="C490" s="22" t="inlineStr">
        <is>
          <t>书院</t>
        </is>
      </c>
      <c r="D490" s="21">
        <f>VLOOKUP(C490,journal_to_ledger!B:E,4,FALSE)</f>
        <v/>
      </c>
    </row>
    <row r="491">
      <c r="A491" s="21" t="n">
        <v>2023</v>
      </c>
      <c r="B491" s="22" t="inlineStr">
        <is>
          <t>转账</t>
        </is>
      </c>
      <c r="C491" s="22" t="inlineStr">
        <is>
          <t>书院</t>
        </is>
      </c>
      <c r="D491" s="21">
        <f>VLOOKUP(C491,journal_to_ledger!B:E,4,FALSE)</f>
        <v/>
      </c>
    </row>
    <row r="492">
      <c r="A492" s="21" t="n">
        <v>2023</v>
      </c>
      <c r="B492" s="22" t="inlineStr">
        <is>
          <t>陈奕菲 北京理工大学珠海学院</t>
        </is>
      </c>
      <c r="C492" s="22" t="inlineStr">
        <is>
          <t>书院</t>
        </is>
      </c>
      <c r="D492" s="21">
        <f>VLOOKUP(C492,journal_to_ledger!B:E,4,FALSE)</f>
        <v/>
      </c>
    </row>
    <row r="493">
      <c r="A493" s="21" t="n">
        <v>2023</v>
      </c>
      <c r="B493" s="22" t="inlineStr">
        <is>
          <t>退款多余费用</t>
        </is>
      </c>
      <c r="C493" s="22" t="inlineStr">
        <is>
          <t>书院</t>
        </is>
      </c>
      <c r="D493" s="21">
        <f>VLOOKUP(C493,journal_to_ledger!B:E,4,FALSE)</f>
        <v/>
      </c>
    </row>
    <row r="494">
      <c r="A494" s="21" t="n">
        <v>2023</v>
      </c>
      <c r="B494" s="22" t="inlineStr">
        <is>
          <t>林铭+无锡市协和双语学校</t>
        </is>
      </c>
      <c r="C494" s="22" t="inlineStr">
        <is>
          <t>书院</t>
        </is>
      </c>
      <c r="D494" s="21">
        <f>VLOOKUP(C494,journal_to_ledger!B:E,4,FALSE)</f>
        <v/>
      </c>
    </row>
    <row r="495">
      <c r="A495" s="21" t="n">
        <v>2023</v>
      </c>
      <c r="B495" s="22" t="inlineStr">
        <is>
          <t>彭昱舜华附国际部HFI</t>
        </is>
      </c>
      <c r="C495" s="22" t="inlineStr">
        <is>
          <t>书院</t>
        </is>
      </c>
      <c r="D495" s="21">
        <f>VLOOKUP(C495,journal_to_ledger!B:E,4,FALSE)</f>
        <v/>
      </c>
    </row>
    <row r="496">
      <c r="A496" s="21" t="n">
        <v>2023</v>
      </c>
      <c r="B496" s="22" t="inlineStr">
        <is>
          <t>陈达为华附国际</t>
        </is>
      </c>
      <c r="C496" s="22" t="inlineStr">
        <is>
          <t>书院</t>
        </is>
      </c>
      <c r="D496" s="21">
        <f>VLOOKUP(C496,journal_to_ledger!B:E,4,FALSE)</f>
        <v/>
      </c>
    </row>
    <row r="497">
      <c r="A497" s="21" t="n">
        <v>2023</v>
      </c>
      <c r="B497" s="22" t="inlineStr">
        <is>
          <t>张尊然活动费</t>
        </is>
      </c>
      <c r="C497" s="22" t="inlineStr">
        <is>
          <t>书院</t>
        </is>
      </c>
      <c r="D497" s="21">
        <f>VLOOKUP(C497,journal_to_ledger!B:E,4,FALSE)</f>
        <v/>
      </c>
    </row>
    <row r="498">
      <c r="A498" s="21" t="n">
        <v>2023</v>
      </c>
      <c r="B498" s="22" t="inlineStr">
        <is>
          <t>钱康睿</t>
        </is>
      </c>
      <c r="C498" s="22" t="inlineStr">
        <is>
          <t>书院</t>
        </is>
      </c>
      <c r="D498" s="21">
        <f>VLOOKUP(C498,journal_to_ledger!B:E,4,FALSE)</f>
        <v/>
      </c>
    </row>
    <row r="499">
      <c r="A499" s="21" t="n">
        <v>2023</v>
      </c>
      <c r="B499" s="22" t="inlineStr">
        <is>
          <t>孙逸铭 南京外国语学校</t>
        </is>
      </c>
      <c r="C499" s="22" t="inlineStr">
        <is>
          <t>书院</t>
        </is>
      </c>
      <c r="D499" s="21">
        <f>VLOOKUP(C499,journal_to_ledger!B:E,4,FALSE)</f>
        <v/>
      </c>
    </row>
    <row r="500">
      <c r="A500" s="21" t="n">
        <v>2023</v>
      </c>
      <c r="B500" s="22" t="inlineStr">
        <is>
          <t>郭嘉容 杭州橄榄树学校</t>
        </is>
      </c>
      <c r="C500" s="22" t="inlineStr">
        <is>
          <t>书院</t>
        </is>
      </c>
      <c r="D500" s="21">
        <f>VLOOKUP(C500,journal_to_ledger!B:E,4,FALSE)</f>
        <v/>
      </c>
    </row>
    <row r="501">
      <c r="A501" s="21" t="n">
        <v>2023</v>
      </c>
      <c r="B501" s="22" t="inlineStr">
        <is>
          <t>桂浩杰 华侨大学</t>
        </is>
      </c>
      <c r="C501" s="22" t="inlineStr">
        <is>
          <t>书院</t>
        </is>
      </c>
      <c r="D501" s="21">
        <f>VLOOKUP(C501,journal_to_ledger!B:E,4,FALSE)</f>
        <v/>
      </c>
    </row>
    <row r="502">
      <c r="A502" s="21" t="n">
        <v>2023</v>
      </c>
      <c r="B502" s="22" t="inlineStr">
        <is>
          <t>金睿-杭州外国语学校</t>
        </is>
      </c>
      <c r="C502" s="22" t="inlineStr">
        <is>
          <t>书院</t>
        </is>
      </c>
      <c r="D502" s="21">
        <f>VLOOKUP(C502,journal_to_ledger!B:E,4,FALSE)</f>
        <v/>
      </c>
    </row>
    <row r="503">
      <c r="A503" s="21" t="n">
        <v>2023</v>
      </c>
      <c r="B503" s="22" t="inlineStr">
        <is>
          <t>上外附中 李宛一</t>
        </is>
      </c>
      <c r="C503" s="22" t="inlineStr">
        <is>
          <t>书院</t>
        </is>
      </c>
      <c r="D503" s="21">
        <f>VLOOKUP(C503,journal_to_ledger!B:E,4,FALSE)</f>
        <v/>
      </c>
    </row>
    <row r="504">
      <c r="A504" s="21" t="n">
        <v>2023</v>
      </c>
      <c r="B504" s="22" t="inlineStr">
        <is>
          <t>曾凡萱，福建师范大学附属中学</t>
        </is>
      </c>
      <c r="C504" s="22" t="inlineStr">
        <is>
          <t>书院</t>
        </is>
      </c>
      <c r="D504" s="21">
        <f>VLOOKUP(C504,journal_to_ledger!B:E,4,FALSE)</f>
        <v/>
      </c>
    </row>
    <row r="505">
      <c r="A505" s="21" t="n">
        <v>2023</v>
      </c>
      <c r="B505" s="22" t="inlineStr">
        <is>
          <t>倪畅上海市建平中学</t>
        </is>
      </c>
      <c r="C505" s="22" t="inlineStr">
        <is>
          <t>书院</t>
        </is>
      </c>
      <c r="D505" s="21">
        <f>VLOOKUP(C505,journal_to_ledger!B:E,4,FALSE)</f>
        <v/>
      </c>
    </row>
    <row r="506">
      <c r="A506" s="21" t="n">
        <v>2023</v>
      </c>
      <c r="B506" s="22" t="inlineStr">
        <is>
          <t>建平中学李奕可</t>
        </is>
      </c>
      <c r="C506" s="22" t="inlineStr">
        <is>
          <t>书院</t>
        </is>
      </c>
      <c r="D506" s="21">
        <f>VLOOKUP(C506,journal_to_ledger!B:E,4,FALSE)</f>
        <v/>
      </c>
    </row>
    <row r="507">
      <c r="A507" s="21" t="n">
        <v>2023</v>
      </c>
      <c r="B507" s="22" t="inlineStr">
        <is>
          <t>胡珂宇 不列颠哥伦比亚大学</t>
        </is>
      </c>
      <c r="C507" s="22" t="inlineStr">
        <is>
          <t>书院</t>
        </is>
      </c>
      <c r="D507" s="21">
        <f>VLOOKUP(C507,journal_to_ledger!B:E,4,FALSE)</f>
        <v/>
      </c>
    </row>
    <row r="508">
      <c r="A508" s="21" t="n">
        <v>2023</v>
      </c>
      <c r="B508" s="22" t="inlineStr">
        <is>
          <t>陈昱彤 北京市十一学校</t>
        </is>
      </c>
      <c r="C508" s="22" t="inlineStr">
        <is>
          <t>书院</t>
        </is>
      </c>
      <c r="D508" s="21">
        <f>VLOOKUP(C508,journal_to_ledger!B:E,4,FALSE)</f>
        <v/>
      </c>
    </row>
    <row r="509">
      <c r="A509" s="21" t="n">
        <v>2023</v>
      </c>
      <c r="B509" s="22" t="inlineStr">
        <is>
          <t>毛瀚棋 （320201200610092036）江苏省天一中学</t>
        </is>
      </c>
      <c r="C509" s="22" t="inlineStr">
        <is>
          <t>书院</t>
        </is>
      </c>
      <c r="D509" s="21">
        <f>VLOOKUP(C509,journal_to_ledger!B:E,4,FALSE)</f>
        <v/>
      </c>
    </row>
    <row r="510">
      <c r="A510" s="21" t="n">
        <v>2023</v>
      </c>
      <c r="B510" s="22" t="inlineStr">
        <is>
          <t>郭佳瑞南京外国语学校</t>
        </is>
      </c>
      <c r="C510" s="22" t="inlineStr">
        <is>
          <t>书院</t>
        </is>
      </c>
      <c r="D510" s="21">
        <f>VLOOKUP(C510,journal_to_ledger!B:E,4,FALSE)</f>
        <v/>
      </c>
    </row>
    <row r="511">
      <c r="A511" s="21" t="n">
        <v>2023</v>
      </c>
      <c r="B511" s="22" t="inlineStr">
        <is>
          <t>季柯楠Elsa上海惠立双语学校</t>
        </is>
      </c>
      <c r="C511" s="22" t="inlineStr">
        <is>
          <t>书院</t>
        </is>
      </c>
      <c r="D511" s="21">
        <f>VLOOKUP(C511,journal_to_ledger!B:E,4,FALSE)</f>
        <v/>
      </c>
    </row>
    <row r="512">
      <c r="A512" s="21" t="n">
        <v>2023</v>
      </c>
      <c r="B512" s="22" t="inlineStr">
        <is>
          <t>华南师范大学附属中学国际部 谭子淇</t>
        </is>
      </c>
      <c r="C512" s="22" t="inlineStr">
        <is>
          <t>书院</t>
        </is>
      </c>
      <c r="D512" s="21">
        <f>VLOOKUP(C512,journal_to_ledger!B:E,4,FALSE)</f>
        <v/>
      </c>
    </row>
    <row r="513">
      <c r="A513" s="21" t="n">
        <v>2023</v>
      </c>
      <c r="B513" s="22" t="inlineStr">
        <is>
          <t>李雨萌 河南省济源市第一中学（2023届应届毕业生享受早鸟价）</t>
        </is>
      </c>
      <c r="C513" s="22" t="inlineStr">
        <is>
          <t>书院</t>
        </is>
      </c>
      <c r="D513" s="21">
        <f>VLOOKUP(C513,journal_to_ledger!B:E,4,FALSE)</f>
        <v/>
      </c>
    </row>
    <row r="514">
      <c r="A514" s="21" t="n">
        <v>2023</v>
      </c>
      <c r="B514" s="22" t="inlineStr">
        <is>
          <t>张子楠，高考毕业生</t>
        </is>
      </c>
      <c r="C514" s="22" t="inlineStr">
        <is>
          <t>书院</t>
        </is>
      </c>
      <c r="D514" s="21">
        <f>VLOOKUP(C514,journal_to_ledger!B:E,4,FALSE)</f>
        <v/>
      </c>
    </row>
    <row r="515">
      <c r="A515" s="21" t="n">
        <v>2023</v>
      </c>
      <c r="B515" s="22" t="inlineStr">
        <is>
          <t>黄姿霖 西交利物浦大学</t>
        </is>
      </c>
      <c r="C515" s="22" t="inlineStr">
        <is>
          <t>书院</t>
        </is>
      </c>
      <c r="D515" s="21">
        <f>VLOOKUP(C515,journal_to_ledger!B:E,4,FALSE)</f>
        <v/>
      </c>
    </row>
    <row r="516">
      <c r="A516" s="21" t="n">
        <v>2023</v>
      </c>
      <c r="B516" s="22" t="inlineStr">
        <is>
          <t>黄思睿 华南师范大学附属中学国际部</t>
        </is>
      </c>
      <c r="C516" s="22" t="inlineStr">
        <is>
          <t>书院</t>
        </is>
      </c>
      <c r="D516" s="21">
        <f>VLOOKUP(C516,journal_to_ledger!B:E,4,FALSE)</f>
        <v/>
      </c>
    </row>
    <row r="517">
      <c r="A517" s="21" t="n">
        <v>2023</v>
      </c>
      <c r="B517" s="22" t="inlineStr">
        <is>
          <t>高玥 江苏省天一中学</t>
        </is>
      </c>
      <c r="C517" s="22" t="inlineStr">
        <is>
          <t>书院</t>
        </is>
      </c>
      <c r="D517" s="21">
        <f>VLOOKUP(C517,journal_to_ledger!B:E,4,FALSE)</f>
        <v/>
      </c>
    </row>
    <row r="518">
      <c r="A518" s="21" t="n">
        <v>2023</v>
      </c>
      <c r="B518" s="22" t="inlineStr">
        <is>
          <t>尚恩祺 西安市铁一中学</t>
        </is>
      </c>
      <c r="C518" s="22" t="inlineStr">
        <is>
          <t>书院</t>
        </is>
      </c>
      <c r="D518" s="21">
        <f>VLOOKUP(C518,journal_to_ledger!B:E,4,FALSE)</f>
        <v/>
      </c>
    </row>
    <row r="519">
      <c r="A519" s="21" t="n">
        <v>2023</v>
      </c>
      <c r="B519" s="22" t="inlineStr">
        <is>
          <t>郑果 杭州外国语学校</t>
        </is>
      </c>
      <c r="C519" s="22" t="inlineStr">
        <is>
          <t>书院</t>
        </is>
      </c>
      <c r="D519" s="21">
        <f>VLOOKUP(C519,journal_to_ledger!B:E,4,FALSE)</f>
        <v/>
      </c>
    </row>
    <row r="520">
      <c r="A520" s="21" t="n">
        <v>2023</v>
      </c>
      <c r="B520" s="22" t="inlineStr">
        <is>
          <t>杭州橄榄树学校 林志城</t>
        </is>
      </c>
      <c r="C520" s="22" t="inlineStr">
        <is>
          <t>书院</t>
        </is>
      </c>
      <c r="D520" s="21">
        <f>VLOOKUP(C520,journal_to_ledger!B:E,4,FALSE)</f>
        <v/>
      </c>
    </row>
    <row r="521">
      <c r="A521" s="21" t="n">
        <v>2023</v>
      </c>
      <c r="B521" s="22" t="inlineStr">
        <is>
          <t>姚子妍 上海浦东惠立学校</t>
        </is>
      </c>
      <c r="C521" s="22" t="inlineStr">
        <is>
          <t>书院</t>
        </is>
      </c>
      <c r="D521" s="21">
        <f>VLOOKUP(C521,journal_to_ledger!B:E,4,FALSE)</f>
        <v/>
      </c>
    </row>
    <row r="522">
      <c r="A522" s="21" t="n">
        <v>2023</v>
      </c>
      <c r="B522" s="22" t="inlineStr">
        <is>
          <t>华附国际部周曦然</t>
        </is>
      </c>
      <c r="C522" s="23" t="inlineStr">
        <is>
          <t>书院</t>
        </is>
      </c>
      <c r="D522" s="21">
        <f>VLOOKUP(C522,journal_to_ledger!B:E,4,FALSE)</f>
        <v/>
      </c>
    </row>
    <row r="523">
      <c r="A523" s="21" t="n">
        <v>2023</v>
      </c>
      <c r="B523" s="22" t="inlineStr">
        <is>
          <t>李珞华-华润小径湾贝赛思国际学校</t>
        </is>
      </c>
      <c r="C523" s="23" t="inlineStr">
        <is>
          <t>书院</t>
        </is>
      </c>
      <c r="D523" s="21">
        <f>VLOOKUP(C523,journal_to_ledger!B:E,4,FALSE)</f>
        <v/>
      </c>
    </row>
    <row r="524">
      <c r="A524" s="21" t="n">
        <v>2023</v>
      </c>
      <c r="B524" s="22" t="inlineStr">
        <is>
          <t>李书铭山东财经大学</t>
        </is>
      </c>
      <c r="C524" s="23" t="inlineStr">
        <is>
          <t>书院</t>
        </is>
      </c>
      <c r="D524" s="21">
        <f>VLOOKUP(C524,journal_to_ledger!B:E,4,FALSE)</f>
        <v/>
      </c>
    </row>
    <row r="525">
      <c r="A525" s="21" t="n">
        <v>2023</v>
      </c>
      <c r="B525" s="22" t="inlineStr">
        <is>
          <t>电子汇入</t>
        </is>
      </c>
      <c r="C525" s="23" t="inlineStr">
        <is>
          <t>书院</t>
        </is>
      </c>
      <c r="D525" s="21">
        <f>VLOOKUP(C525,journal_to_ledger!B:E,4,FALSE)</f>
        <v/>
      </c>
    </row>
    <row r="526">
      <c r="A526" s="21" t="n">
        <v>2023</v>
      </c>
      <c r="B526" s="22" t="inlineStr">
        <is>
          <t>华附国际陈一诺</t>
        </is>
      </c>
      <c r="C526" s="23" t="inlineStr">
        <is>
          <t>书院</t>
        </is>
      </c>
      <c r="D526" s="21">
        <f>VLOOKUP(C526,journal_to_ledger!B:E,4,FALSE)</f>
        <v/>
      </c>
    </row>
    <row r="527">
      <c r="A527" s="21" t="n">
        <v>2023</v>
      </c>
      <c r="B527" s="22" t="inlineStr">
        <is>
          <t>华南师范大学附属中学国际部HFI蔺豫</t>
        </is>
      </c>
      <c r="C527" s="23" t="inlineStr">
        <is>
          <t>书院</t>
        </is>
      </c>
      <c r="D527" s="21">
        <f>VLOOKUP(C527,journal_to_ledger!B:E,4,FALSE)</f>
        <v/>
      </c>
    </row>
    <row r="528">
      <c r="A528" s="21" t="n">
        <v>2023</v>
      </c>
      <c r="B528" s="22" t="inlineStr">
        <is>
          <t>卢逸昆明城市学院</t>
        </is>
      </c>
      <c r="C528" s="23" t="inlineStr">
        <is>
          <t>书院</t>
        </is>
      </c>
      <c r="D528" s="21">
        <f>VLOOKUP(C528,journal_to_ledger!B:E,4,FALSE)</f>
        <v/>
      </c>
    </row>
    <row r="529">
      <c r="A529" s="21" t="n">
        <v>2023</v>
      </c>
      <c r="B529" s="22" t="inlineStr">
        <is>
          <t>华南师范大学附属中学国际部(HFI陆梓瑛</t>
        </is>
      </c>
      <c r="C529" s="23" t="inlineStr">
        <is>
          <t>书院</t>
        </is>
      </c>
      <c r="D529" s="21">
        <f>VLOOKUP(C529,journal_to_ledger!B:E,4,FALSE)</f>
        <v/>
      </c>
    </row>
    <row r="530">
      <c r="A530" s="21" t="n">
        <v>2023</v>
      </c>
      <c r="B530" s="22" t="inlineStr">
        <is>
          <t>张丹扬华南师范大学附属中学国际部</t>
        </is>
      </c>
      <c r="C530" s="23" t="inlineStr">
        <is>
          <t>书院</t>
        </is>
      </c>
      <c r="D530" s="21">
        <f>VLOOKUP(C530,journal_to_ledger!B:E,4,FALSE)</f>
        <v/>
      </c>
    </row>
    <row r="531">
      <c r="A531" s="21" t="n">
        <v>2023</v>
      </c>
      <c r="B531" s="22" t="inlineStr">
        <is>
          <t>王泽希世界联合学院</t>
        </is>
      </c>
      <c r="C531" s="23" t="inlineStr">
        <is>
          <t>书院</t>
        </is>
      </c>
      <c r="D531" s="21">
        <f>VLOOKUP(C531,journal_to_ledger!B:E,4,FALSE)</f>
        <v/>
      </c>
    </row>
    <row r="532">
      <c r="A532" s="21" t="n">
        <v>2023</v>
      </c>
      <c r="B532" s="22" t="inlineStr">
        <is>
          <t>何雨轩重庆莱克顿国际学校</t>
        </is>
      </c>
      <c r="C532" s="23" t="inlineStr">
        <is>
          <t>书院</t>
        </is>
      </c>
      <c r="D532" s="21">
        <f>VLOOKUP(C532,journal_to_ledger!B:E,4,FALSE)</f>
        <v/>
      </c>
    </row>
    <row r="533">
      <c r="A533" s="21" t="n">
        <v>2023</v>
      </c>
      <c r="B533" s="22" t="inlineStr">
        <is>
          <t>谢一帆,上海交通大学附属中学闵行分校</t>
        </is>
      </c>
      <c r="C533" s="23" t="inlineStr">
        <is>
          <t>书院</t>
        </is>
      </c>
      <c r="D533" s="21">
        <f>VLOOKUP(C533,journal_to_ledger!B:E,4,FALSE)</f>
        <v/>
      </c>
    </row>
    <row r="534">
      <c r="A534" s="21" t="n">
        <v>2023</v>
      </c>
      <c r="B534" s="22" t="inlineStr">
        <is>
          <t>洪嘉敏+浙江工业大学</t>
        </is>
      </c>
      <c r="C534" s="23" t="inlineStr">
        <is>
          <t>书院</t>
        </is>
      </c>
      <c r="D534" s="21">
        <f>VLOOKUP(C534,journal_to_ledger!B:E,4,FALSE)</f>
        <v/>
      </c>
    </row>
    <row r="535">
      <c r="A535" s="21" t="n">
        <v>2023</v>
      </c>
      <c r="B535" s="22" t="inlineStr">
        <is>
          <t>华附国际部刘子柔</t>
        </is>
      </c>
      <c r="C535" s="23" t="inlineStr">
        <is>
          <t>书院</t>
        </is>
      </c>
      <c r="D535" s="21">
        <f>VLOOKUP(C535,journal_to_ledger!B:E,4,FALSE)</f>
        <v/>
      </c>
    </row>
    <row r="536">
      <c r="A536" s="21" t="n">
        <v>2023</v>
      </c>
      <c r="B536" s="22" t="inlineStr">
        <is>
          <t>谭湘琪北京十一学校</t>
        </is>
      </c>
      <c r="C536" s="23" t="inlineStr">
        <is>
          <t>书院</t>
        </is>
      </c>
      <c r="D536" s="21">
        <f>VLOOKUP(C536,journal_to_ledger!B:E,4,FALSE)</f>
        <v/>
      </c>
    </row>
    <row r="537">
      <c r="A537" s="21" t="n">
        <v>2023</v>
      </c>
      <c r="B537" s="22" t="inlineStr">
        <is>
          <t>罗曼青广东碧桂园学校</t>
        </is>
      </c>
      <c r="C537" s="23" t="inlineStr">
        <is>
          <t>书院</t>
        </is>
      </c>
      <c r="D537" s="21">
        <f>VLOOKUP(C537,journal_to_ledger!B:E,4,FALSE)</f>
        <v/>
      </c>
    </row>
    <row r="538">
      <c r="A538" s="21" t="n">
        <v>2023</v>
      </c>
      <c r="B538" s="22" t="inlineStr">
        <is>
          <t>黄哲-HFI</t>
        </is>
      </c>
      <c r="C538" s="23" t="inlineStr">
        <is>
          <t>书院</t>
        </is>
      </c>
      <c r="D538" s="21">
        <f>VLOOKUP(C538,journal_to_ledger!B:E,4,FALSE)</f>
        <v/>
      </c>
    </row>
    <row r="539">
      <c r="A539" s="21" t="n">
        <v>2023</v>
      </c>
      <c r="B539" s="22" t="inlineStr">
        <is>
          <t>林子涵华附高中国际部</t>
        </is>
      </c>
      <c r="C539" s="23" t="inlineStr">
        <is>
          <t>书院</t>
        </is>
      </c>
      <c r="D539" s="21">
        <f>VLOOKUP(C539,journal_to_ledger!B:E,4,FALSE)</f>
        <v/>
      </c>
    </row>
    <row r="540">
      <c r="A540" s="21" t="n">
        <v>2023</v>
      </c>
      <c r="B540" s="22" t="inlineStr">
        <is>
          <t>HFII彭恩豪</t>
        </is>
      </c>
      <c r="C540" s="23" t="inlineStr">
        <is>
          <t>书院</t>
        </is>
      </c>
      <c r="D540" s="21">
        <f>VLOOKUP(C540,journal_to_ledger!B:E,4,FALSE)</f>
        <v/>
      </c>
    </row>
    <row r="541">
      <c r="A541" s="21" t="n">
        <v>2023</v>
      </c>
      <c r="B541" s="22" t="inlineStr">
        <is>
          <t>业欣荟UCSD</t>
        </is>
      </c>
      <c r="C541" s="23" t="inlineStr">
        <is>
          <t>书院</t>
        </is>
      </c>
      <c r="D541" s="21">
        <f>VLOOKUP(C541,journal_to_ledger!B:E,4,FALSE)</f>
        <v/>
      </c>
    </row>
    <row r="542">
      <c r="A542" s="21" t="n">
        <v>2023</v>
      </c>
      <c r="B542" s="22" t="inlineStr">
        <is>
          <t>上海包玉刚实验学校邢子涵</t>
        </is>
      </c>
      <c r="C542" s="23" t="inlineStr">
        <is>
          <t>书院</t>
        </is>
      </c>
      <c r="D542" s="21">
        <f>VLOOKUP(C542,journal_to_ledger!B:E,4,FALSE)</f>
        <v/>
      </c>
    </row>
    <row r="543">
      <c r="A543" s="21" t="n">
        <v>2023</v>
      </c>
      <c r="B543" s="22" t="inlineStr">
        <is>
          <t>深圳国际交流学院钟可儿</t>
        </is>
      </c>
      <c r="C543" s="23" t="inlineStr">
        <is>
          <t>书院</t>
        </is>
      </c>
      <c r="D543" s="21">
        <f>VLOOKUP(C543,journal_to_ledger!B:E,4,FALSE)</f>
        <v/>
      </c>
    </row>
    <row r="544">
      <c r="A544" s="21" t="n">
        <v>2023</v>
      </c>
      <c r="B544" s="22" t="inlineStr">
        <is>
          <t>YiLai,HFI</t>
        </is>
      </c>
      <c r="C544" s="23" t="inlineStr">
        <is>
          <t>书院</t>
        </is>
      </c>
      <c r="D544" s="21">
        <f>VLOOKUP(C544,journal_to_ledger!B:E,4,FALSE)</f>
        <v/>
      </c>
    </row>
    <row r="545">
      <c r="A545" s="21" t="n">
        <v>2023</v>
      </c>
      <c r="B545" s="22" t="inlineStr">
        <is>
          <t>白雅萱FJR约翰雷德蒙中学</t>
        </is>
      </c>
      <c r="C545" s="23" t="inlineStr">
        <is>
          <t>书院</t>
        </is>
      </c>
      <c r="D545" s="21">
        <f>VLOOKUP(C545,journal_to_ledger!B:E,4,FALSE)</f>
        <v/>
      </c>
    </row>
    <row r="546">
      <c r="A546" s="21" t="n">
        <v>2023</v>
      </c>
      <c r="B546" s="22" t="inlineStr">
        <is>
          <t>(世华学校)戴可欣</t>
        </is>
      </c>
      <c r="C546" s="23" t="inlineStr">
        <is>
          <t>书院</t>
        </is>
      </c>
      <c r="D546" s="21">
        <f>VLOOKUP(C546,journal_to_ledger!B:E,4,FALSE)</f>
        <v/>
      </c>
    </row>
    <row r="547">
      <c r="A547" s="21" t="n">
        <v>2023</v>
      </c>
      <c r="B547" s="22" t="inlineStr">
        <is>
          <t>纪欣彤青岛第三十九中学</t>
        </is>
      </c>
      <c r="C547" s="23" t="inlineStr">
        <is>
          <t>书院</t>
        </is>
      </c>
      <c r="D547" s="21">
        <f>VLOOKUP(C547,journal_to_ledger!B:E,4,FALSE)</f>
        <v/>
      </c>
    </row>
    <row r="548">
      <c r="A548" s="21" t="n">
        <v>2023</v>
      </c>
      <c r="B548" s="22" t="inlineStr">
        <is>
          <t>王梓涵新侨学校</t>
        </is>
      </c>
      <c r="C548" s="23" t="inlineStr">
        <is>
          <t>书院</t>
        </is>
      </c>
      <c r="D548" s="21">
        <f>VLOOKUP(C548,journal_to_ledger!B:E,4,FALSE)</f>
        <v/>
      </c>
    </row>
    <row r="549">
      <c r="A549" s="21" t="n">
        <v>2023</v>
      </c>
      <c r="B549" s="22" t="inlineStr">
        <is>
          <t>徐浩洋北京十一学校国际部</t>
        </is>
      </c>
      <c r="C549" s="23" t="inlineStr">
        <is>
          <t>书院</t>
        </is>
      </c>
      <c r="D549" s="21">
        <f>VLOOKUP(C549,journal_to_ledger!B:E,4,FALSE)</f>
        <v/>
      </c>
    </row>
    <row r="550">
      <c r="A550" s="21" t="n">
        <v>2023</v>
      </c>
      <c r="B550" s="22" t="inlineStr">
        <is>
          <t>胡以心,泉州五中(高中)</t>
        </is>
      </c>
      <c r="C550" s="23" t="inlineStr">
        <is>
          <t>书院</t>
        </is>
      </c>
      <c r="D550" s="21">
        <f>VLOOKUP(C550,journal_to_ledger!B:E,4,FALSE)</f>
        <v/>
      </c>
    </row>
    <row r="551">
      <c r="A551" s="21" t="n">
        <v>2023</v>
      </c>
      <c r="B551" s="22" t="inlineStr">
        <is>
          <t>蒋斯然江苏省天一中学</t>
        </is>
      </c>
      <c r="C551" s="23" t="inlineStr">
        <is>
          <t>书院</t>
        </is>
      </c>
      <c r="D551" s="21">
        <f>VLOOKUP(C551,journal_to_ledger!B:E,4,FALSE)</f>
        <v/>
      </c>
    </row>
    <row r="552">
      <c r="A552" s="21" t="n">
        <v>2023</v>
      </c>
      <c r="B552" s="22" t="inlineStr">
        <is>
          <t>广州外国语学校陈昕越</t>
        </is>
      </c>
      <c r="C552" s="23" t="inlineStr">
        <is>
          <t>书院</t>
        </is>
      </c>
      <c r="D552" s="21">
        <f>VLOOKUP(C552,journal_to_ledger!B:E,4,FALSE)</f>
        <v/>
      </c>
    </row>
    <row r="553">
      <c r="A553" s="21" t="n">
        <v>2023</v>
      </c>
      <c r="B553" s="22" t="inlineStr">
        <is>
          <t>赵子涵HFI华师附中国际部</t>
        </is>
      </c>
      <c r="C553" s="23" t="inlineStr">
        <is>
          <t>书院</t>
        </is>
      </c>
      <c r="D553" s="21">
        <f>VLOOKUP(C553,journal_to_ledger!B:E,4,FALSE)</f>
        <v/>
      </c>
    </row>
    <row r="554">
      <c r="A554" s="21" t="n">
        <v>2023</v>
      </c>
      <c r="B554" s="22" t="inlineStr">
        <is>
          <t>桂依晨上海平和</t>
        </is>
      </c>
      <c r="C554" s="23" t="inlineStr">
        <is>
          <t>书院</t>
        </is>
      </c>
      <c r="D554" s="21">
        <f>VLOOKUP(C554,journal_to_ledger!B:E,4,FALSE)</f>
        <v/>
      </c>
    </row>
    <row r="555">
      <c r="A555" s="21" t="n">
        <v>2023</v>
      </c>
      <c r="B555" s="22" t="inlineStr">
        <is>
          <t>王福鑫一宏文学校青岛校区</t>
        </is>
      </c>
      <c r="C555" s="23" t="inlineStr">
        <is>
          <t>书院</t>
        </is>
      </c>
      <c r="D555" s="21">
        <f>VLOOKUP(C555,journal_to_ledger!B:E,4,FALSE)</f>
        <v/>
      </c>
    </row>
    <row r="556">
      <c r="A556" s="21" t="n">
        <v>2023</v>
      </c>
      <c r="B556" s="22" t="inlineStr">
        <is>
          <t>徐盛骐(苏州北美国际高级中学)</t>
        </is>
      </c>
      <c r="C556" s="23" t="inlineStr">
        <is>
          <t>书院</t>
        </is>
      </c>
      <c r="D556" s="21">
        <f>VLOOKUP(C556,journal_to_ledger!B:E,4,FALSE)</f>
        <v/>
      </c>
    </row>
    <row r="557">
      <c r="A557" s="21" t="n">
        <v>2023</v>
      </c>
      <c r="B557" s="22" t="inlineStr">
        <is>
          <t>王祉洲 上海惠立学校</t>
        </is>
      </c>
      <c r="C557" s="23" t="inlineStr">
        <is>
          <t>书院</t>
        </is>
      </c>
      <c r="D557" s="21">
        <f>VLOOKUP(C557,journal_to_ledger!B:E,4,FALSE)</f>
        <v/>
      </c>
    </row>
    <row r="558">
      <c r="A558" s="21" t="n">
        <v>2023</v>
      </c>
      <c r="B558" s="22" t="inlineStr">
        <is>
          <t>Transfer</t>
        </is>
      </c>
      <c r="C558" s="23" t="inlineStr">
        <is>
          <t>书院</t>
        </is>
      </c>
      <c r="D558" s="21">
        <f>VLOOKUP(C558,journal_to_ledger!B:E,4,FALSE)</f>
        <v/>
      </c>
    </row>
    <row r="559">
      <c r="A559" s="21" t="n">
        <v>2023</v>
      </c>
      <c r="B559" s="22" t="inlineStr">
        <is>
          <t>黄诚+七宝德怀特</t>
        </is>
      </c>
      <c r="C559" s="23" t="inlineStr">
        <is>
          <t>书院</t>
        </is>
      </c>
      <c r="D559" s="21">
        <f>VLOOKUP(C559,journal_to_ledger!B:E,4,FALSE)</f>
        <v/>
      </c>
    </row>
    <row r="560">
      <c r="A560" s="21" t="n">
        <v>2023</v>
      </c>
      <c r="B560" s="22" t="inlineStr">
        <is>
          <t>谈笑言 江苏省无锡市狄邦文理学校</t>
        </is>
      </c>
      <c r="C560" s="23" t="inlineStr">
        <is>
          <t>书院</t>
        </is>
      </c>
      <c r="D560" s="21">
        <f>VLOOKUP(C560,journal_to_ledger!B:E,4,FALSE)</f>
        <v/>
      </c>
    </row>
    <row r="561">
      <c r="A561" s="21" t="n">
        <v>2023</v>
      </c>
      <c r="B561" s="22" t="inlineStr">
        <is>
          <t>殷玮 深圳中学</t>
        </is>
      </c>
      <c r="C561" s="23" t="inlineStr">
        <is>
          <t>书院</t>
        </is>
      </c>
      <c r="D561" s="21">
        <f>VLOOKUP(C561,journal_to_ledger!B:E,4,FALSE)</f>
        <v/>
      </c>
    </row>
    <row r="562">
      <c r="A562" s="21" t="n">
        <v>2023</v>
      </c>
      <c r="B562" s="22" t="inlineStr">
        <is>
          <t>退款，希望下次见到你～</t>
        </is>
      </c>
      <c r="C562" s="23" t="inlineStr">
        <is>
          <t>书院</t>
        </is>
      </c>
      <c r="D562" s="21">
        <f>VLOOKUP(C562,journal_to_ledger!B:E,4,FALSE)</f>
        <v/>
      </c>
    </row>
    <row r="563">
      <c r="A563" s="21" t="n">
        <v>2023</v>
      </c>
      <c r="B563" s="22" t="inlineStr">
        <is>
          <t>徐辰宁（江苏省南菁高级中学）</t>
        </is>
      </c>
      <c r="C563" s="23" t="inlineStr">
        <is>
          <t>书院</t>
        </is>
      </c>
      <c r="D563" s="21">
        <f>VLOOKUP(C563,journal_to_ledger!B:E,4,FALSE)</f>
        <v/>
      </c>
    </row>
    <row r="564">
      <c r="A564" s="21" t="n">
        <v>2023</v>
      </c>
      <c r="B564" s="22" t="inlineStr">
        <is>
          <t>退款</t>
        </is>
      </c>
      <c r="C564" s="22" t="inlineStr">
        <is>
          <t>书院</t>
        </is>
      </c>
      <c r="D564" s="21">
        <f>VLOOKUP(C564,journal_to_ledger!B:E,4,FALSE)</f>
        <v/>
      </c>
    </row>
    <row r="565">
      <c r="A565" s="21" t="n">
        <v>2023</v>
      </c>
      <c r="B565" s="22" t="inlineStr">
        <is>
          <t>王睿厦门一中</t>
        </is>
      </c>
      <c r="C565" s="22" t="inlineStr">
        <is>
          <t>书院</t>
        </is>
      </c>
      <c r="D565" s="21">
        <f>VLOOKUP(C565,journal_to_ledger!B:E,4,FALSE)</f>
        <v/>
      </c>
    </row>
    <row r="566">
      <c r="A566" s="21" t="n">
        <v>2023</v>
      </c>
      <c r="B566" s="22" t="inlineStr">
        <is>
          <t>王雅姝陕西师范大学附属中学国际部</t>
        </is>
      </c>
      <c r="C566" s="22" t="inlineStr">
        <is>
          <t>书院</t>
        </is>
      </c>
      <c r="D566" s="21">
        <f>VLOOKUP(C566,journal_to_ledger!B:E,4,FALSE)</f>
        <v/>
      </c>
    </row>
    <row r="567">
      <c r="A567" s="21" t="n">
        <v>2023</v>
      </c>
      <c r="B567" s="22" t="inlineStr">
        <is>
          <t>张睿芯(深圳市高级中学)</t>
        </is>
      </c>
      <c r="C567" s="22" t="inlineStr">
        <is>
          <t>书院</t>
        </is>
      </c>
      <c r="D567" s="21">
        <f>VLOOKUP(C567,journal_to_ledger!B:E,4,FALSE)</f>
        <v/>
      </c>
    </row>
    <row r="568">
      <c r="A568" s="21" t="n">
        <v>2023</v>
      </c>
      <c r="B568" s="22" t="inlineStr">
        <is>
          <t>课程费用 刘奕扬Selina 深圳第二外国语学校</t>
        </is>
      </c>
      <c r="C568" s="22" t="inlineStr">
        <is>
          <t>书院</t>
        </is>
      </c>
      <c r="D568" s="21">
        <f>VLOOKUP(C568,journal_to_ledger!B:E,4,FALSE)</f>
        <v/>
      </c>
    </row>
    <row r="569">
      <c r="A569" s="21" t="n">
        <v>2023</v>
      </c>
      <c r="B569" s="22" t="inlineStr">
        <is>
          <t>书院</t>
        </is>
      </c>
      <c r="C569" s="22" t="inlineStr">
        <is>
          <t>书院</t>
        </is>
      </c>
      <c r="D569" s="21">
        <f>VLOOKUP(C569,journal_to_ledger!B:E,4,FALSE)</f>
        <v/>
      </c>
    </row>
    <row r="570">
      <c r="A570" s="21" t="n">
        <v>2023</v>
      </c>
      <c r="B570" s="22" t="inlineStr">
        <is>
          <t>书院工资+1168.47报销</t>
        </is>
      </c>
      <c r="C570" s="22" t="inlineStr">
        <is>
          <t>书院</t>
        </is>
      </c>
      <c r="D570" s="21">
        <f>VLOOKUP(C570,journal_to_ledger!B:E,4,FALSE)</f>
        <v/>
      </c>
    </row>
    <row r="571">
      <c r="A571" s="21" t="n">
        <v>2023</v>
      </c>
      <c r="B571" s="22" t="inlineStr">
        <is>
          <t>书院工资报销</t>
        </is>
      </c>
      <c r="C571" s="22" t="inlineStr">
        <is>
          <t>书院</t>
        </is>
      </c>
      <c r="D571" s="21">
        <f>VLOOKUP(C571,journal_to_ledger!B:E,4,FALSE)</f>
        <v/>
      </c>
    </row>
    <row r="572">
      <c r="A572" s="21" t="n">
        <v>2023</v>
      </c>
      <c r="B572" s="22" t="inlineStr">
        <is>
          <t>服务费</t>
        </is>
      </c>
      <c r="C572" s="22" t="inlineStr">
        <is>
          <t>书院</t>
        </is>
      </c>
      <c r="D572" s="21">
        <f>VLOOKUP(C572,journal_to_ledger!B:E,4,FALSE)</f>
        <v/>
      </c>
    </row>
    <row r="573">
      <c r="A573" s="21" t="n">
        <v>2023</v>
      </c>
      <c r="B573" s="22" t="inlineStr">
        <is>
          <t>书院助学金，感谢参与！</t>
        </is>
      </c>
      <c r="C573" s="22" t="inlineStr">
        <is>
          <t>书院-助学金</t>
        </is>
      </c>
      <c r="D573" s="21">
        <f>VLOOKUP(C573,journal_to_ledger!B:E,4,FALSE)</f>
        <v/>
      </c>
    </row>
    <row r="574">
      <c r="A574" s="21" t="n">
        <v>2023</v>
      </c>
      <c r="B574" s="22" t="inlineStr">
        <is>
          <t>书院助学金</t>
        </is>
      </c>
      <c r="C574" s="22" t="inlineStr">
        <is>
          <t>书院-助学金</t>
        </is>
      </c>
      <c r="D574" s="21">
        <f>VLOOKUP(C574,journal_to_ledger!B:E,4,FALSE)</f>
        <v/>
      </c>
    </row>
    <row r="575">
      <c r="A575" s="21" t="n">
        <v>2023</v>
      </c>
      <c r="B575" s="22" t="n"/>
      <c r="C575" s="22" t="inlineStr">
        <is>
          <t>书院-物料</t>
        </is>
      </c>
      <c r="D575" s="21">
        <f>VLOOKUP(C575,journal_to_ledger!B:E,4,FALSE)</f>
        <v/>
      </c>
    </row>
    <row r="576">
      <c r="A576" s="21" t="n">
        <v>2023</v>
      </c>
      <c r="B576" s="22" t="inlineStr">
        <is>
          <t>摄影7.29</t>
        </is>
      </c>
      <c r="C576" s="22" t="inlineStr">
        <is>
          <t>书院-物料</t>
        </is>
      </c>
      <c r="D576" s="21">
        <f>VLOOKUP(C576,journal_to_ledger!B:E,4,FALSE)</f>
        <v/>
      </c>
    </row>
    <row r="577">
      <c r="A577" s="21" t="n">
        <v>2023</v>
      </c>
      <c r="B577" s="22" t="inlineStr">
        <is>
          <t>摄影</t>
        </is>
      </c>
      <c r="C577" s="22" t="inlineStr">
        <is>
          <t>书院-物料</t>
        </is>
      </c>
      <c r="D577" s="21">
        <f>VLOOKUP(C577,journal_to_ledger!B:E,4,FALSE)</f>
        <v/>
      </c>
    </row>
    <row r="578">
      <c r="A578" s="21" t="n">
        <v>2023</v>
      </c>
      <c r="B578" s="22" t="inlineStr">
        <is>
          <t>摄影尾款</t>
        </is>
      </c>
      <c r="C578" s="22" t="inlineStr">
        <is>
          <t>书院-物料</t>
        </is>
      </c>
      <c r="D578" s="21">
        <f>VLOOKUP(C578,journal_to_ledger!B:E,4,FALSE)</f>
        <v/>
      </c>
    </row>
    <row r="579">
      <c r="A579" s="21" t="n">
        <v>2023</v>
      </c>
      <c r="B579" s="22" t="inlineStr">
        <is>
          <t>余款</t>
        </is>
      </c>
      <c r="C579" s="22" t="inlineStr">
        <is>
          <t>书院-物料</t>
        </is>
      </c>
      <c r="D579" s="21">
        <f>VLOOKUP(C579,journal_to_ledger!B:E,4,FALSE)</f>
        <v/>
      </c>
    </row>
    <row r="580">
      <c r="A580" s="21" t="n">
        <v>2023</v>
      </c>
      <c r="B580" s="22" t="inlineStr">
        <is>
          <t>报销打车</t>
        </is>
      </c>
      <c r="C580" s="22" t="inlineStr">
        <is>
          <t>书院-物料</t>
        </is>
      </c>
      <c r="D580" s="21">
        <f>VLOOKUP(C580,journal_to_ledger!B:E,4,FALSE)</f>
        <v/>
      </c>
    </row>
    <row r="581">
      <c r="A581" s="21" t="n">
        <v>2023</v>
      </c>
      <c r="B581" s="22" t="inlineStr">
        <is>
          <t>邮寄帆布包</t>
        </is>
      </c>
      <c r="C581" s="22" t="inlineStr">
        <is>
          <t>书院-物料</t>
        </is>
      </c>
      <c r="D581" s="21">
        <f>VLOOKUP(C581,journal_to_ledger!B:E,4,FALSE)</f>
        <v/>
      </c>
    </row>
    <row r="582">
      <c r="A582" s="21" t="n">
        <v>2023</v>
      </c>
      <c r="B582" s="22" t="inlineStr">
        <is>
          <t>t恤样品</t>
        </is>
      </c>
      <c r="C582" s="22" t="inlineStr">
        <is>
          <t>书院-物料</t>
        </is>
      </c>
      <c r="D582" s="21">
        <f>VLOOKUP(C582,journal_to_ledger!B:E,4,FALSE)</f>
        <v/>
      </c>
    </row>
    <row r="583">
      <c r="A583" s="21" t="n">
        <v>2023</v>
      </c>
      <c r="B583" s="22" t="inlineStr">
        <is>
          <t>贴纸本子样品</t>
        </is>
      </c>
      <c r="C583" s="22" t="inlineStr">
        <is>
          <t>书院-物料</t>
        </is>
      </c>
      <c r="D583" s="21">
        <f>VLOOKUP(C583,journal_to_ledger!B:E,4,FALSE)</f>
        <v/>
      </c>
    </row>
    <row r="584">
      <c r="A584" s="21" t="n">
        <v>2023</v>
      </c>
      <c r="B584" s="22" t="inlineStr">
        <is>
          <t>帆布袋样品</t>
        </is>
      </c>
      <c r="C584" s="22" t="inlineStr">
        <is>
          <t>书院-物料</t>
        </is>
      </c>
      <c r="D584" s="21">
        <f>VLOOKUP(C584,journal_to_ledger!B:E,4,FALSE)</f>
        <v/>
      </c>
    </row>
    <row r="585">
      <c r="A585" s="21" t="n">
        <v>2023</v>
      </c>
      <c r="B585" s="22" t="inlineStr">
        <is>
          <t>物料购买费用</t>
        </is>
      </c>
      <c r="C585" s="22" t="inlineStr">
        <is>
          <t>书院-物料</t>
        </is>
      </c>
      <c r="D585" s="21">
        <f>VLOOKUP(C585,journal_to_ledger!B:E,4,FALSE)</f>
        <v/>
      </c>
    </row>
    <row r="586">
      <c r="A586" s="21" t="n">
        <v>2023</v>
      </c>
      <c r="B586" s="22" t="inlineStr">
        <is>
          <t>物料购买</t>
        </is>
      </c>
      <c r="C586" s="22" t="inlineStr">
        <is>
          <t>书院-物料</t>
        </is>
      </c>
      <c r="D586" s="21">
        <f>VLOOKUP(C586,journal_to_ledger!B:E,4,FALSE)</f>
        <v/>
      </c>
    </row>
    <row r="587">
      <c r="A587" s="21" t="n">
        <v>2023</v>
      </c>
      <c r="B587" s="22" t="inlineStr">
        <is>
          <t>舞台道具报销</t>
        </is>
      </c>
      <c r="C587" s="22" t="inlineStr">
        <is>
          <t>书院-物料</t>
        </is>
      </c>
      <c r="D587" s="21">
        <f>VLOOKUP(C587,journal_to_ledger!B:E,4,FALSE)</f>
        <v/>
      </c>
    </row>
    <row r="588">
      <c r="A588" s="21" t="n">
        <v>2023</v>
      </c>
      <c r="B588" s="22" t="inlineStr">
        <is>
          <t>高考panel设备</t>
        </is>
      </c>
      <c r="C588" s="22" t="inlineStr">
        <is>
          <t>书院-物料</t>
        </is>
      </c>
      <c r="D588" s="21">
        <f>VLOOKUP(C588,journal_to_ledger!B:E,4,FALSE)</f>
        <v/>
      </c>
    </row>
    <row r="589">
      <c r="A589" s="21" t="n">
        <v>2023</v>
      </c>
      <c r="B589" s="22" t="inlineStr">
        <is>
          <t>翻译报销</t>
        </is>
      </c>
      <c r="C589" s="22" t="inlineStr">
        <is>
          <t>书院-物料</t>
        </is>
      </c>
      <c r="D589" s="21">
        <f>VLOOKUP(C589,journal_to_ledger!B:E,4,FALSE)</f>
        <v/>
      </c>
    </row>
    <row r="590">
      <c r="A590" s="21" t="n">
        <v>2023</v>
      </c>
      <c r="B590" s="22" t="inlineStr">
        <is>
          <t>粉笔电池抽纸报销</t>
        </is>
      </c>
      <c r="C590" s="22" t="inlineStr">
        <is>
          <t>书院-物料</t>
        </is>
      </c>
      <c r="D590" s="21">
        <f>VLOOKUP(C590,journal_to_ledger!B:E,4,FALSE)</f>
        <v/>
      </c>
    </row>
    <row r="591">
      <c r="A591" s="21" t="n">
        <v>2023</v>
      </c>
      <c r="B591" s="22" t="inlineStr">
        <is>
          <t>明信片等物料</t>
        </is>
      </c>
      <c r="C591" s="22" t="inlineStr">
        <is>
          <t>书院-物料</t>
        </is>
      </c>
      <c r="D591" s="21">
        <f>VLOOKUP(C591,journal_to_ledger!B:E,4,FALSE)</f>
        <v/>
      </c>
    </row>
    <row r="592">
      <c r="A592" s="21" t="n">
        <v>2023</v>
      </c>
      <c r="B592" s="22" t="inlineStr">
        <is>
          <t>药品报销</t>
        </is>
      </c>
      <c r="C592" s="22" t="inlineStr">
        <is>
          <t>书院-物料</t>
        </is>
      </c>
      <c r="D592" s="21">
        <f>VLOOKUP(C592,journal_to_ledger!B:E,4,FALSE)</f>
        <v/>
      </c>
    </row>
    <row r="593">
      <c r="A593" s="21" t="n">
        <v>2023</v>
      </c>
      <c r="B593" s="22" t="inlineStr">
        <is>
          <t>电池报销</t>
        </is>
      </c>
      <c r="C593" s="22" t="inlineStr">
        <is>
          <t>书院-物料</t>
        </is>
      </c>
      <c r="D593" s="21">
        <f>VLOOKUP(C593,journal_to_ledger!B:E,4,FALSE)</f>
        <v/>
      </c>
    </row>
    <row r="594">
      <c r="A594" s="21" t="n">
        <v>2023</v>
      </c>
      <c r="B594" s="22" t="inlineStr">
        <is>
          <t>排版设计+腾讯会议</t>
        </is>
      </c>
      <c r="C594" s="22" t="inlineStr">
        <is>
          <t>书院-物料</t>
        </is>
      </c>
      <c r="D594" s="21">
        <f>VLOOKUP(C594,journal_to_ledger!B:E,4,FALSE)</f>
        <v/>
      </c>
    </row>
    <row r="595">
      <c r="A595" s="21" t="n">
        <v>2023</v>
      </c>
      <c r="B595" s="22" t="inlineStr">
        <is>
          <t>credamo报销</t>
        </is>
      </c>
      <c r="C595" s="22" t="inlineStr">
        <is>
          <t>书院-物料</t>
        </is>
      </c>
      <c r="D595" s="21">
        <f>VLOOKUP(C595,journal_to_ledger!B:E,4,FALSE)</f>
        <v/>
      </c>
    </row>
    <row r="596">
      <c r="A596" s="21" t="n">
        <v>2023</v>
      </c>
      <c r="B596" s="22" t="inlineStr">
        <is>
          <t>眼罩耳塞报销</t>
        </is>
      </c>
      <c r="C596" s="22" t="inlineStr">
        <is>
          <t>书院-物料</t>
        </is>
      </c>
      <c r="D596" s="21">
        <f>VLOOKUP(C596,journal_to_ledger!B:E,4,FALSE)</f>
        <v/>
      </c>
    </row>
    <row r="597">
      <c r="A597" s="21" t="n">
        <v>2023</v>
      </c>
      <c r="B597" s="22" t="inlineStr">
        <is>
          <t>物料报销</t>
        </is>
      </c>
      <c r="C597" s="22" t="inlineStr">
        <is>
          <t>书院-物料</t>
        </is>
      </c>
      <c r="D597" s="21">
        <f>VLOOKUP(C597,journal_to_ledger!B:E,4,FALSE)</f>
        <v/>
      </c>
    </row>
    <row r="598">
      <c r="A598" s="21" t="n">
        <v>2023</v>
      </c>
      <c r="B598" s="22" t="inlineStr">
        <is>
          <t>场地相关报销</t>
        </is>
      </c>
      <c r="C598" s="22" t="inlineStr">
        <is>
          <t>书院-物料</t>
        </is>
      </c>
      <c r="D598" s="21">
        <f>VLOOKUP(C598,journal_to_ledger!B:E,4,FALSE)</f>
        <v/>
      </c>
    </row>
    <row r="599">
      <c r="A599" s="21" t="n">
        <v>2023</v>
      </c>
      <c r="B599" s="22" t="inlineStr">
        <is>
          <t>买书报销</t>
        </is>
      </c>
      <c r="C599" s="22" t="inlineStr">
        <is>
          <t>书院-物料</t>
        </is>
      </c>
      <c r="D599" s="21">
        <f>VLOOKUP(C599,journal_to_ledger!B:E,4,FALSE)</f>
        <v/>
      </c>
    </row>
    <row r="600">
      <c r="A600" s="21" t="n">
        <v>2023</v>
      </c>
      <c r="B600" s="22" t="inlineStr">
        <is>
          <t>credamo会员报销</t>
        </is>
      </c>
      <c r="C600" s="22" t="inlineStr">
        <is>
          <t>书院-物料</t>
        </is>
      </c>
      <c r="D600" s="21">
        <f>VLOOKUP(C600,journal_to_ledger!B:E,4,FALSE)</f>
        <v/>
      </c>
    </row>
    <row r="601">
      <c r="A601" s="21" t="n">
        <v>2023</v>
      </c>
      <c r="B601" s="22" t="inlineStr">
        <is>
          <t>洗衣粉报销</t>
        </is>
      </c>
      <c r="C601" s="22" t="inlineStr">
        <is>
          <t>书院-物料</t>
        </is>
      </c>
      <c r="D601" s="21">
        <f>VLOOKUP(C601,journal_to_ledger!B:E,4,FALSE)</f>
        <v/>
      </c>
    </row>
    <row r="602">
      <c r="A602" s="21" t="n">
        <v>2023</v>
      </c>
      <c r="B602" s="22" t="inlineStr">
        <is>
          <t>转账备注:柏渡-报销</t>
        </is>
      </c>
      <c r="C602" s="23" t="inlineStr">
        <is>
          <t>书院-物料</t>
        </is>
      </c>
      <c r="D602" s="21">
        <f>VLOOKUP(C602,journal_to_ledger!B:E,4,FALSE)</f>
        <v/>
      </c>
    </row>
    <row r="603">
      <c r="A603" s="21" t="n">
        <v>2023</v>
      </c>
      <c r="B603" s="22" t="inlineStr">
        <is>
          <t>书院物资报销</t>
        </is>
      </c>
      <c r="C603" s="22" t="inlineStr">
        <is>
          <t>书院-物料</t>
        </is>
      </c>
      <c r="D603" s="21">
        <f>VLOOKUP(C603,journal_to_ledger!B:E,4,FALSE)</f>
        <v/>
      </c>
    </row>
    <row r="604">
      <c r="A604" s="21" t="n">
        <v>2023</v>
      </c>
      <c r="B604" s="22" t="inlineStr">
        <is>
          <t>书院问卷报销</t>
        </is>
      </c>
      <c r="C604" s="22" t="inlineStr">
        <is>
          <t>书院-物料</t>
        </is>
      </c>
      <c r="D604" s="21">
        <f>VLOOKUP(C604,journal_to_ledger!B:E,4,FALSE)</f>
        <v/>
      </c>
    </row>
    <row r="605">
      <c r="A605" s="21" t="n">
        <v>2023</v>
      </c>
      <c r="B605" s="22" t="inlineStr">
        <is>
          <t>聚餐报销</t>
        </is>
      </c>
      <c r="C605" s="22" t="inlineStr">
        <is>
          <t>书院-物料</t>
        </is>
      </c>
      <c r="D605" s="21">
        <f>VLOOKUP(C605,journal_to_ledger!B:E,4,FALSE)</f>
        <v/>
      </c>
    </row>
    <row r="606">
      <c r="A606" s="21" t="n">
        <v>2023</v>
      </c>
      <c r="B606" s="22" t="inlineStr">
        <is>
          <t>工资+850报销金额，谢谢参与～</t>
        </is>
      </c>
      <c r="C606" s="22" t="inlineStr">
        <is>
          <t>书院-组委讲师</t>
        </is>
      </c>
      <c r="D606" s="21">
        <f>VLOOKUP(C606,journal_to_ledger!B:E,4,FALSE)</f>
        <v/>
      </c>
    </row>
    <row r="607">
      <c r="A607" s="21" t="n">
        <v>2023</v>
      </c>
      <c r="B607" s="22" t="inlineStr">
        <is>
          <t>工资+4485.42报销金额，谢谢参与～</t>
        </is>
      </c>
      <c r="C607" s="22" t="inlineStr">
        <is>
          <t>书院-组委讲师</t>
        </is>
      </c>
      <c r="D607" s="21">
        <f>VLOOKUP(C607,journal_to_ledger!B:E,4,FALSE)</f>
        <v/>
      </c>
    </row>
    <row r="608">
      <c r="A608" s="21" t="n">
        <v>2023</v>
      </c>
      <c r="B608" s="22" t="inlineStr">
        <is>
          <t>工资+2229报销金额，谢谢参与～</t>
        </is>
      </c>
      <c r="C608" s="22" t="inlineStr">
        <is>
          <t>书院-组委讲师</t>
        </is>
      </c>
      <c r="D608" s="21">
        <f>VLOOKUP(C608,journal_to_ledger!B:E,4,FALSE)</f>
        <v/>
      </c>
    </row>
    <row r="609">
      <c r="A609" s="21" t="n">
        <v>2023</v>
      </c>
      <c r="B609" s="22" t="inlineStr">
        <is>
          <t>工资+2308报销金额，谢谢参与～</t>
        </is>
      </c>
      <c r="C609" s="22" t="inlineStr">
        <is>
          <t>书院-组委讲师</t>
        </is>
      </c>
      <c r="D609" s="21">
        <f>VLOOKUP(C609,journal_to_ledger!B:E,4,FALSE)</f>
        <v/>
      </c>
    </row>
    <row r="610">
      <c r="A610" s="21" t="n">
        <v>2023</v>
      </c>
      <c r="B610" s="22" t="inlineStr">
        <is>
          <t>工资+2479报销金额，谢谢参与～</t>
        </is>
      </c>
      <c r="C610" s="22" t="inlineStr">
        <is>
          <t>书院-组委讲师</t>
        </is>
      </c>
      <c r="D610" s="21">
        <f>VLOOKUP(C610,journal_to_ledger!B:E,4,FALSE)</f>
        <v/>
      </c>
    </row>
    <row r="611">
      <c r="A611" s="21" t="n">
        <v>2023</v>
      </c>
      <c r="B611" s="22" t="inlineStr">
        <is>
          <t>工资+2295报销金额，谢谢参与～</t>
        </is>
      </c>
      <c r="C611" s="22" t="inlineStr">
        <is>
          <t>书院-组委讲师</t>
        </is>
      </c>
      <c r="D611" s="21">
        <f>VLOOKUP(C611,journal_to_ledger!B:E,4,FALSE)</f>
        <v/>
      </c>
    </row>
    <row r="612">
      <c r="A612" s="21" t="n">
        <v>2023</v>
      </c>
      <c r="B612" s="22" t="inlineStr">
        <is>
          <t>工资+2626报销金额，谢谢参与～</t>
        </is>
      </c>
      <c r="C612" s="22" t="inlineStr">
        <is>
          <t>书院-组委讲师</t>
        </is>
      </c>
      <c r="D612" s="21">
        <f>VLOOKUP(C612,journal_to_ledger!B:E,4,FALSE)</f>
        <v/>
      </c>
    </row>
    <row r="613">
      <c r="A613" s="21" t="n">
        <v>2023</v>
      </c>
      <c r="B613" s="22" t="inlineStr">
        <is>
          <t>工资+2425报销金额，谢谢参与～</t>
        </is>
      </c>
      <c r="C613" s="22" t="inlineStr">
        <is>
          <t>书院-组委讲师</t>
        </is>
      </c>
      <c r="D613" s="21">
        <f>VLOOKUP(C613,journal_to_ledger!B:E,4,FALSE)</f>
        <v/>
      </c>
    </row>
    <row r="614">
      <c r="A614" s="21" t="n">
        <v>2023</v>
      </c>
      <c r="B614" s="22" t="inlineStr">
        <is>
          <t>工资+2796报销金额，谢谢参与～</t>
        </is>
      </c>
      <c r="C614" s="22" t="inlineStr">
        <is>
          <t>书院-组委讲师</t>
        </is>
      </c>
      <c r="D614" s="21">
        <f>VLOOKUP(C614,journal_to_ledger!B:E,4,FALSE)</f>
        <v/>
      </c>
    </row>
    <row r="615">
      <c r="A615" s="21" t="n">
        <v>2023</v>
      </c>
      <c r="B615" s="22" t="inlineStr">
        <is>
          <t>工资+1830.78报销金额，谢谢参与～</t>
        </is>
      </c>
      <c r="C615" s="22" t="inlineStr">
        <is>
          <t>书院-组委讲师</t>
        </is>
      </c>
      <c r="D615" s="21">
        <f>VLOOKUP(C615,journal_to_ledger!B:E,4,FALSE)</f>
        <v/>
      </c>
    </row>
    <row r="616">
      <c r="A616" s="21" t="n">
        <v>2023</v>
      </c>
      <c r="B616" s="22" t="inlineStr">
        <is>
          <t>1400工资+200报销金额，谢谢参与～</t>
        </is>
      </c>
      <c r="C616" s="22" t="inlineStr">
        <is>
          <t>书院-组委讲师</t>
        </is>
      </c>
      <c r="D616" s="21">
        <f>VLOOKUP(C616,journal_to_ledger!B:E,4,FALSE)</f>
        <v/>
      </c>
    </row>
    <row r="617">
      <c r="A617" s="21" t="n">
        <v>2023</v>
      </c>
      <c r="B617" s="22" t="inlineStr">
        <is>
          <t>1400工资+3000报销金额，谢谢参与～</t>
        </is>
      </c>
      <c r="C617" s="22" t="inlineStr">
        <is>
          <t>书院-组委讲师</t>
        </is>
      </c>
      <c r="D617" s="21">
        <f>VLOOKUP(C617,journal_to_ledger!B:E,4,FALSE)</f>
        <v/>
      </c>
    </row>
    <row r="618">
      <c r="A618" s="21" t="n">
        <v>2023</v>
      </c>
      <c r="B618" s="22" t="inlineStr">
        <is>
          <t>工资+4000报销金额，谢谢参与～</t>
        </is>
      </c>
      <c r="C618" s="22" t="inlineStr">
        <is>
          <t>书院-组委讲师</t>
        </is>
      </c>
      <c r="D618" s="21">
        <f>VLOOKUP(C618,journal_to_ledger!B:E,4,FALSE)</f>
        <v/>
      </c>
    </row>
    <row r="619">
      <c r="A619" s="21" t="n">
        <v>2023</v>
      </c>
      <c r="B619" s="22" t="inlineStr">
        <is>
          <t>转账</t>
        </is>
      </c>
      <c r="C619" s="22" t="inlineStr">
        <is>
          <t>书院-组委讲师</t>
        </is>
      </c>
      <c r="D619" s="21">
        <f>VLOOKUP(C619,journal_to_ledger!B:E,4,FALSE)</f>
        <v/>
      </c>
    </row>
    <row r="620">
      <c r="A620" s="21" t="n">
        <v>2023</v>
      </c>
      <c r="B620" s="22" t="inlineStr">
        <is>
          <t>薛文轩代转</t>
        </is>
      </c>
      <c r="C620" s="22" t="inlineStr">
        <is>
          <t>书院-组委讲师</t>
        </is>
      </c>
      <c r="D620" s="21">
        <f>VLOOKUP(C620,journal_to_ledger!B:E,4,FALSE)</f>
        <v/>
      </c>
    </row>
    <row r="621">
      <c r="A621" s="21" t="n">
        <v>2023</v>
      </c>
      <c r="B621" s="22" t="inlineStr">
        <is>
          <t>书院工资+5040.28报销</t>
        </is>
      </c>
      <c r="C621" s="22" t="inlineStr">
        <is>
          <t>书院-组委讲师</t>
        </is>
      </c>
      <c r="D621" s="21">
        <f>VLOOKUP(C621,journal_to_ledger!B:E,4,FALSE)</f>
        <v/>
      </c>
    </row>
    <row r="622">
      <c r="A622" s="21" t="n">
        <v>2023</v>
      </c>
      <c r="B622" s="22" t="inlineStr">
        <is>
          <t>两位的工资+报销</t>
        </is>
      </c>
      <c r="C622" s="22" t="inlineStr">
        <is>
          <t>书院-组委讲师</t>
        </is>
      </c>
      <c r="D622" s="21">
        <f>VLOOKUP(C622,journal_to_ledger!B:E,4,FALSE)</f>
        <v/>
      </c>
    </row>
    <row r="623">
      <c r="A623" s="21" t="n">
        <v>2023</v>
      </c>
      <c r="B623" s="22" t="inlineStr">
        <is>
          <t>工资+1151报销</t>
        </is>
      </c>
      <c r="C623" s="22" t="inlineStr">
        <is>
          <t>书院-组委讲师</t>
        </is>
      </c>
      <c r="D623" s="21">
        <f>VLOOKUP(C623,journal_to_ledger!B:E,4,FALSE)</f>
        <v/>
      </c>
    </row>
    <row r="624">
      <c r="A624" s="21" t="n">
        <v>2023</v>
      </c>
      <c r="B624" s="22" t="inlineStr">
        <is>
          <t>书院工资</t>
        </is>
      </c>
      <c r="C624" s="22" t="inlineStr">
        <is>
          <t>书院-组委讲师</t>
        </is>
      </c>
      <c r="D624" s="21">
        <f>VLOOKUP(C624,journal_to_ledger!B:E,4,FALSE)</f>
        <v/>
      </c>
    </row>
    <row r="625">
      <c r="A625" s="21" t="n">
        <v>2023</v>
      </c>
      <c r="B625" s="22" t="inlineStr">
        <is>
          <t>工资+1343报销</t>
        </is>
      </c>
      <c r="C625" s="22" t="inlineStr">
        <is>
          <t>书院-组委讲师</t>
        </is>
      </c>
      <c r="D625" s="21">
        <f>VLOOKUP(C625,journal_to_ledger!B:E,4,FALSE)</f>
        <v/>
      </c>
    </row>
    <row r="626">
      <c r="A626" s="21" t="n">
        <v>2023</v>
      </c>
      <c r="B626" s="22" t="inlineStr">
        <is>
          <t>工资+报销433.85</t>
        </is>
      </c>
      <c r="C626" s="22" t="inlineStr">
        <is>
          <t>书院-组委讲师</t>
        </is>
      </c>
      <c r="D626" s="21">
        <f>VLOOKUP(C626,journal_to_ledger!B:E,4,FALSE)</f>
        <v/>
      </c>
    </row>
    <row r="627">
      <c r="A627" s="21" t="n">
        <v>2023</v>
      </c>
      <c r="B627" s="22" t="inlineStr">
        <is>
          <t>工资+1425报销</t>
        </is>
      </c>
      <c r="C627" s="22" t="inlineStr">
        <is>
          <t>书院-组委讲师</t>
        </is>
      </c>
      <c r="D627" s="21">
        <f>VLOOKUP(C627,journal_to_ledger!B:E,4,FALSE)</f>
        <v/>
      </c>
    </row>
    <row r="628">
      <c r="A628" s="21" t="n">
        <v>2023</v>
      </c>
      <c r="B628" s="22" t="inlineStr">
        <is>
          <t>工资+1473报销</t>
        </is>
      </c>
      <c r="C628" s="22" t="inlineStr">
        <is>
          <t>书院-组委讲师</t>
        </is>
      </c>
      <c r="D628" s="21">
        <f>VLOOKUP(C628,journal_to_ledger!B:E,4,FALSE)</f>
        <v/>
      </c>
    </row>
    <row r="629">
      <c r="A629" s="21" t="n">
        <v>2023</v>
      </c>
      <c r="B629" s="22" t="inlineStr">
        <is>
          <t>工资+963.94报销</t>
        </is>
      </c>
      <c r="C629" s="22" t="inlineStr">
        <is>
          <t>书院-组委讲师</t>
        </is>
      </c>
      <c r="D629" s="21">
        <f>VLOOKUP(C629,journal_to_ledger!B:E,4,FALSE)</f>
        <v/>
      </c>
    </row>
    <row r="630">
      <c r="A630" s="21" t="n">
        <v>2023</v>
      </c>
      <c r="B630" s="22" t="inlineStr">
        <is>
          <t>工资+77.18报销</t>
        </is>
      </c>
      <c r="C630" s="22" t="inlineStr">
        <is>
          <t>书院-组委讲师</t>
        </is>
      </c>
      <c r="D630" s="21">
        <f>VLOOKUP(C630,journal_to_ledger!B:E,4,FALSE)</f>
        <v/>
      </c>
    </row>
    <row r="631">
      <c r="A631" s="21" t="n">
        <v>2023</v>
      </c>
      <c r="B631" s="22" t="inlineStr">
        <is>
          <t>工资+1262.67报销</t>
        </is>
      </c>
      <c r="C631" s="22" t="inlineStr">
        <is>
          <t>书院-组委讲师</t>
        </is>
      </c>
      <c r="D631" s="21">
        <f>VLOOKUP(C631,journal_to_ledger!B:E,4,FALSE)</f>
        <v/>
      </c>
    </row>
    <row r="632">
      <c r="A632" s="21" t="n">
        <v>2023</v>
      </c>
      <c r="B632" s="22" t="inlineStr">
        <is>
          <t>工资+1223.22报销</t>
        </is>
      </c>
      <c r="C632" s="22" t="inlineStr">
        <is>
          <t>书院-组委讲师</t>
        </is>
      </c>
      <c r="D632" s="21">
        <f>VLOOKUP(C632,journal_to_ledger!B:E,4,FALSE)</f>
        <v/>
      </c>
    </row>
    <row r="633">
      <c r="A633" s="21" t="n">
        <v>2023</v>
      </c>
      <c r="B633" s="22" t="inlineStr">
        <is>
          <t>工资+1214报销</t>
        </is>
      </c>
      <c r="C633" s="22" t="inlineStr">
        <is>
          <t>书院-组委讲师</t>
        </is>
      </c>
      <c r="D633" s="21">
        <f>VLOOKUP(C633,journal_to_ledger!B:E,4,FALSE)</f>
        <v/>
      </c>
    </row>
    <row r="634">
      <c r="A634" s="21" t="n">
        <v>2023</v>
      </c>
      <c r="B634" s="22" t="inlineStr">
        <is>
          <t>工资+1494报销</t>
        </is>
      </c>
      <c r="C634" s="22" t="inlineStr">
        <is>
          <t>书院-组委讲师</t>
        </is>
      </c>
      <c r="D634" s="21">
        <f>VLOOKUP(C634,journal_to_ledger!B:E,4,FALSE)</f>
        <v/>
      </c>
    </row>
    <row r="635">
      <c r="A635" s="21" t="n">
        <v>2023</v>
      </c>
      <c r="B635" s="22" t="inlineStr">
        <is>
          <t>工资-超过报销额度</t>
        </is>
      </c>
      <c r="C635" s="22" t="inlineStr">
        <is>
          <t>书院-组委讲师</t>
        </is>
      </c>
      <c r="D635" s="21">
        <f>VLOOKUP(C635,journal_to_ledger!B:E,4,FALSE)</f>
        <v/>
      </c>
    </row>
    <row r="636">
      <c r="A636" s="21" t="n">
        <v>2023</v>
      </c>
      <c r="B636" s="22" t="inlineStr">
        <is>
          <t>工资-应报销额度</t>
        </is>
      </c>
      <c r="C636" s="22" t="inlineStr">
        <is>
          <t>书院-组委讲师</t>
        </is>
      </c>
      <c r="D636" s="21">
        <f>VLOOKUP(C636,journal_to_ledger!B:E,4,FALSE)</f>
        <v/>
      </c>
    </row>
    <row r="637">
      <c r="A637" s="21" t="n">
        <v>2023</v>
      </c>
      <c r="B637" s="22" t="inlineStr">
        <is>
          <t>书院工资+1425报销</t>
        </is>
      </c>
      <c r="C637" s="22" t="inlineStr">
        <is>
          <t>书院-组委讲师</t>
        </is>
      </c>
      <c r="D637" s="21">
        <f>VLOOKUP(C637,journal_to_ledger!B:E,4,FALSE)</f>
        <v/>
      </c>
    </row>
    <row r="638">
      <c r="A638" s="21" t="n">
        <v>2023</v>
      </c>
      <c r="B638" s="22" t="inlineStr">
        <is>
          <t>工资-报销超过额度</t>
        </is>
      </c>
      <c r="C638" s="22" t="inlineStr">
        <is>
          <t>书院-组委讲师</t>
        </is>
      </c>
      <c r="D638" s="21">
        <f>VLOOKUP(C638,journal_to_ledger!B:E,4,FALSE)</f>
        <v/>
      </c>
    </row>
    <row r="639">
      <c r="A639" s="21" t="n">
        <v>2023</v>
      </c>
      <c r="B639" s="22" t="inlineStr">
        <is>
          <t>工资+1226.42报销</t>
        </is>
      </c>
      <c r="C639" s="22" t="inlineStr">
        <is>
          <t>书院-组委讲师</t>
        </is>
      </c>
      <c r="D639" s="21">
        <f>VLOOKUP(C639,journal_to_ledger!B:E,4,FALSE)</f>
        <v/>
      </c>
    </row>
    <row r="640">
      <c r="A640" s="21" t="n">
        <v>2023</v>
      </c>
      <c r="B640" s="22" t="inlineStr">
        <is>
          <t>工资+报销</t>
        </is>
      </c>
      <c r="C640" s="22" t="inlineStr">
        <is>
          <t>书院-组委讲师</t>
        </is>
      </c>
      <c r="D640" s="21">
        <f>VLOOKUP(C640,journal_to_ledger!B:E,4,FALSE)</f>
        <v/>
      </c>
    </row>
    <row r="641">
      <c r="A641" s="21" t="n">
        <v>2023</v>
      </c>
      <c r="B641" s="22" t="inlineStr">
        <is>
          <t>往来款</t>
        </is>
      </c>
      <c r="C641" s="22" t="inlineStr">
        <is>
          <t>书院-讲师组委</t>
        </is>
      </c>
      <c r="D641" s="21">
        <f>VLOOKUP(C641,journal_to_ledger!B:E,4,FALSE)</f>
        <v/>
      </c>
    </row>
    <row r="642">
      <c r="A642" s="21" t="n">
        <v>2023</v>
      </c>
      <c r="B642" s="22" t="n"/>
      <c r="C642" s="22" t="inlineStr">
        <is>
          <t>书院-运营</t>
        </is>
      </c>
      <c r="D642" s="21">
        <f>VLOOKUP(C642,journal_to_ledger!B:E,4,FALSE)</f>
        <v/>
      </c>
    </row>
    <row r="643">
      <c r="A643" s="21" t="n">
        <v>2023</v>
      </c>
      <c r="B643" s="22" t="n"/>
      <c r="C643" s="22" t="inlineStr">
        <is>
          <t>书院-酒店</t>
        </is>
      </c>
      <c r="D643" s="21">
        <f>VLOOKUP(C643,journal_to_ledger!B:E,4,FALSE)</f>
        <v/>
      </c>
    </row>
    <row r="644">
      <c r="A644" s="21" t="n">
        <v>2023</v>
      </c>
      <c r="B644" s="22" t="inlineStr">
        <is>
          <t>住宿</t>
        </is>
      </c>
      <c r="C644" s="22" t="inlineStr">
        <is>
          <t>书院-酒店</t>
        </is>
      </c>
      <c r="D644" s="21">
        <f>VLOOKUP(C644,journal_to_ledger!B:E,4,FALSE)</f>
        <v/>
      </c>
    </row>
    <row r="645">
      <c r="A645" s="21" t="n">
        <v>2023</v>
      </c>
      <c r="B645" s="22" t="inlineStr">
        <is>
          <t>预付款</t>
        </is>
      </c>
      <c r="C645" s="22" t="inlineStr">
        <is>
          <t>书院-酒店</t>
        </is>
      </c>
      <c r="D645" s="21">
        <f>VLOOKUP(C645,journal_to_ledger!B:E,4,FALSE)</f>
        <v/>
      </c>
    </row>
    <row r="646">
      <c r="A646" s="21" t="n">
        <v>2023</v>
      </c>
      <c r="B646" s="22" t="inlineStr">
        <is>
          <t>总统大酒店五天借住~</t>
        </is>
      </c>
      <c r="C646" s="22" t="inlineStr">
        <is>
          <t>书院-酒店</t>
        </is>
      </c>
      <c r="D646" s="21">
        <f>VLOOKUP(C646,journal_to_ledger!B:E,4,FALSE)</f>
        <v/>
      </c>
    </row>
    <row r="647">
      <c r="A647" s="21" t="n">
        <v>2023</v>
      </c>
      <c r="B647" s="22" t="inlineStr">
        <is>
          <t>退客人款</t>
        </is>
      </c>
      <c r="C647" s="22" t="inlineStr">
        <is>
          <t>书院-酒店</t>
        </is>
      </c>
      <c r="D647" s="21">
        <f>VLOOKUP(C647,journal_to_ledger!B:E,4,FALSE)</f>
        <v/>
      </c>
    </row>
    <row r="648">
      <c r="A648" s="21" t="n">
        <v>2023</v>
      </c>
      <c r="B648" s="22" t="inlineStr">
        <is>
          <t>企业网银高级版</t>
        </is>
      </c>
      <c r="C648" s="23" t="inlineStr">
        <is>
          <t>企业网银服务费</t>
        </is>
      </c>
      <c r="D648" s="21">
        <f>VLOOKUP(C648,journal_to_ledger!B:E,4,FALSE)</f>
        <v/>
      </c>
    </row>
    <row r="649">
      <c r="A649" s="21" t="n">
        <v>2023</v>
      </c>
      <c r="B649" s="22" t="inlineStr">
        <is>
          <t>余利宝自动转入</t>
        </is>
      </c>
      <c r="C649" s="22" t="inlineStr">
        <is>
          <t>余利宝</t>
        </is>
      </c>
      <c r="D649" s="21">
        <f>VLOOKUP(C649,journal_to_ledger!B:E,4,FALSE)</f>
        <v/>
      </c>
    </row>
    <row r="650">
      <c r="A650" s="21" t="n">
        <v>2023</v>
      </c>
      <c r="B650" s="22" t="inlineStr">
        <is>
          <t>余利宝-基金赎回，转账到支付宝</t>
        </is>
      </c>
      <c r="C650" s="22" t="inlineStr">
        <is>
          <t>余利宝</t>
        </is>
      </c>
      <c r="D650" s="21">
        <f>VLOOKUP(C650,journal_to_ledger!B:E,4,FALSE)</f>
        <v/>
      </c>
    </row>
    <row r="651">
      <c r="A651" s="21" t="n">
        <v>2023</v>
      </c>
      <c r="B651" s="22" t="n"/>
      <c r="C651" s="23" t="inlineStr">
        <is>
          <t>余利宝收益发放</t>
        </is>
      </c>
      <c r="D651" s="21">
        <f>VLOOKUP(C651,journal_to_ledger!B:E,4,FALSE)</f>
        <v/>
      </c>
    </row>
    <row r="652">
      <c r="A652" s="21" t="n">
        <v>2023</v>
      </c>
      <c r="B652" s="22" t="inlineStr">
        <is>
          <t>11月工资</t>
        </is>
      </c>
      <c r="C652" s="22" t="inlineStr">
        <is>
          <t>工资</t>
        </is>
      </c>
      <c r="D652" s="21">
        <f>VLOOKUP(C652,journal_to_ledger!B:E,4,FALSE)</f>
        <v/>
      </c>
    </row>
    <row r="653">
      <c r="A653" s="21" t="n">
        <v>2023</v>
      </c>
      <c r="B653" s="22" t="inlineStr">
        <is>
          <t>12月工资</t>
        </is>
      </c>
      <c r="C653" s="22" t="inlineStr">
        <is>
          <t>工资</t>
        </is>
      </c>
      <c r="D653" s="21">
        <f>VLOOKUP(C653,journal_to_ledger!B:E,4,FALSE)</f>
        <v/>
      </c>
    </row>
    <row r="654">
      <c r="A654" s="21" t="n">
        <v>2023</v>
      </c>
      <c r="B654" s="22" t="inlineStr">
        <is>
          <t>1月工资</t>
        </is>
      </c>
      <c r="C654" s="22" t="inlineStr">
        <is>
          <t>工资</t>
        </is>
      </c>
      <c r="D654" s="21">
        <f>VLOOKUP(C654,journal_to_ledger!B:E,4,FALSE)</f>
        <v/>
      </c>
    </row>
    <row r="655">
      <c r="A655" s="21" t="n">
        <v>2023</v>
      </c>
      <c r="B655" s="22" t="inlineStr">
        <is>
          <t>2月工资</t>
        </is>
      </c>
      <c r="C655" s="22" t="inlineStr">
        <is>
          <t>工资</t>
        </is>
      </c>
      <c r="D655" s="21">
        <f>VLOOKUP(C655,journal_to_ledger!B:E,4,FALSE)</f>
        <v/>
      </c>
    </row>
    <row r="656">
      <c r="A656" s="21" t="n">
        <v>2023</v>
      </c>
      <c r="B656" s="22" t="inlineStr">
        <is>
          <t>3月工资</t>
        </is>
      </c>
      <c r="C656" s="22" t="inlineStr">
        <is>
          <t>工资</t>
        </is>
      </c>
      <c r="D656" s="21">
        <f>VLOOKUP(C656,journal_to_ledger!B:E,4,FALSE)</f>
        <v/>
      </c>
    </row>
    <row r="657">
      <c r="A657" s="21" t="n">
        <v>2023</v>
      </c>
      <c r="B657" s="22" t="inlineStr">
        <is>
          <t>4月</t>
        </is>
      </c>
      <c r="C657" s="22" t="inlineStr">
        <is>
          <t>工资</t>
        </is>
      </c>
      <c r="D657" s="21">
        <f>VLOOKUP(C657,journal_to_ledger!B:E,4,FALSE)</f>
        <v/>
      </c>
    </row>
    <row r="658">
      <c r="A658" s="21" t="n">
        <v>2023</v>
      </c>
      <c r="B658" s="22" t="inlineStr">
        <is>
          <t>5月</t>
        </is>
      </c>
      <c r="C658" s="22" t="inlineStr">
        <is>
          <t>工资</t>
        </is>
      </c>
      <c r="D658" s="21">
        <f>VLOOKUP(C658,journal_to_ledger!B:E,4,FALSE)</f>
        <v/>
      </c>
    </row>
    <row r="659">
      <c r="A659" s="21" t="n">
        <v>2023</v>
      </c>
      <c r="B659" s="22" t="inlineStr">
        <is>
          <t>4月补</t>
        </is>
      </c>
      <c r="C659" s="22" t="inlineStr">
        <is>
          <t>工资</t>
        </is>
      </c>
      <c r="D659" s="21">
        <f>VLOOKUP(C659,journal_to_ledger!B:E,4,FALSE)</f>
        <v/>
      </c>
    </row>
    <row r="660">
      <c r="A660" s="21" t="n">
        <v>2023</v>
      </c>
      <c r="B660" s="22" t="inlineStr">
        <is>
          <t>6月</t>
        </is>
      </c>
      <c r="C660" s="22" t="inlineStr">
        <is>
          <t>工资</t>
        </is>
      </c>
      <c r="D660" s="21">
        <f>VLOOKUP(C660,journal_to_ledger!B:E,4,FALSE)</f>
        <v/>
      </c>
    </row>
    <row r="661">
      <c r="A661" s="21" t="n">
        <v>2023</v>
      </c>
      <c r="B661" s="22" t="inlineStr">
        <is>
          <t>6月工资</t>
        </is>
      </c>
      <c r="C661" s="22" t="inlineStr">
        <is>
          <t>工资</t>
        </is>
      </c>
      <c r="D661" s="21">
        <f>VLOOKUP(C661,journal_to_ledger!B:E,4,FALSE)</f>
        <v/>
      </c>
    </row>
    <row r="662">
      <c r="A662" s="21" t="n">
        <v>2023</v>
      </c>
      <c r="B662" s="22" t="inlineStr">
        <is>
          <t>书院前期补发</t>
        </is>
      </c>
      <c r="C662" s="22" t="inlineStr">
        <is>
          <t>工资</t>
        </is>
      </c>
      <c r="D662" s="21">
        <f>VLOOKUP(C662,journal_to_ledger!B:E,4,FALSE)</f>
        <v/>
      </c>
    </row>
    <row r="663">
      <c r="A663" s="21" t="n">
        <v>2023</v>
      </c>
      <c r="B663" s="22" t="n"/>
      <c r="C663" s="23" t="inlineStr">
        <is>
          <t>支付宝余额自动转入</t>
        </is>
      </c>
      <c r="D663" s="21">
        <f>VLOOKUP(C663,journal_to_ledger!B:E,4,FALSE)</f>
        <v/>
      </c>
    </row>
    <row r="664">
      <c r="A664" s="21" t="n">
        <v>2023</v>
      </c>
      <c r="B664" s="22" t="inlineStr">
        <is>
          <t>商务卡-单位结算卡年费</t>
        </is>
      </c>
      <c r="C664" s="23" t="inlineStr">
        <is>
          <t>收费</t>
        </is>
      </c>
      <c r="D664" s="21">
        <f>VLOOKUP(C664,journal_to_ledger!B:E,4,FALSE)</f>
        <v/>
      </c>
    </row>
    <row r="665">
      <c r="A665" s="21" t="n">
        <v>2023</v>
      </c>
      <c r="B665" s="22" t="inlineStr">
        <is>
          <t>第十期研讨屋</t>
        </is>
      </c>
      <c r="C665" s="22" t="inlineStr">
        <is>
          <t>研讨屋</t>
        </is>
      </c>
      <c r="D665" s="21">
        <f>VLOOKUP(C665,journal_to_ledger!B:E,4,FALSE)</f>
        <v/>
      </c>
    </row>
    <row r="666">
      <c r="A666" s="21" t="n">
        <v>2023</v>
      </c>
      <c r="B666" s="22" t="inlineStr">
        <is>
          <t>服务器报销</t>
        </is>
      </c>
      <c r="C666" s="22" t="inlineStr">
        <is>
          <t>管理</t>
        </is>
      </c>
      <c r="D666" s="21">
        <f>VLOOKUP(C666,journal_to_ledger!B:E,4,FALSE)</f>
        <v/>
      </c>
    </row>
    <row r="667">
      <c r="A667" s="21" t="n">
        <v>2023</v>
      </c>
      <c r="B667" s="22" t="inlineStr">
        <is>
          <t>7月工资</t>
        </is>
      </c>
      <c r="C667" s="22" t="inlineStr">
        <is>
          <t>组委工资</t>
        </is>
      </c>
      <c r="D667" s="21">
        <f>VLOOKUP(C667,journal_to_ledger!B:E,4,FALSE)</f>
        <v/>
      </c>
    </row>
    <row r="668">
      <c r="A668" s="21" t="n">
        <v>2023</v>
      </c>
      <c r="B668" s="22" t="inlineStr">
        <is>
          <t>8月</t>
        </is>
      </c>
      <c r="C668" s="22" t="inlineStr">
        <is>
          <t>组委工资</t>
        </is>
      </c>
      <c r="D668" s="21">
        <f>VLOOKUP(C668,journal_to_ledger!B:E,4,FALSE)</f>
        <v/>
      </c>
    </row>
    <row r="669">
      <c r="A669" s="21" t="n">
        <v>2023</v>
      </c>
      <c r="B669" s="22" t="inlineStr">
        <is>
          <t>7月</t>
        </is>
      </c>
      <c r="C669" s="22" t="inlineStr">
        <is>
          <t>组委工资</t>
        </is>
      </c>
      <c r="D669" s="21">
        <f>VLOOKUP(C669,journal_to_ledger!B:E,4,FALSE)</f>
        <v/>
      </c>
    </row>
    <row r="670">
      <c r="A670" s="21" t="n">
        <v>2023</v>
      </c>
      <c r="B670" s="22" t="inlineStr">
        <is>
          <t>8月工资</t>
        </is>
      </c>
      <c r="C670" s="22" t="inlineStr">
        <is>
          <t>组委工资</t>
        </is>
      </c>
      <c r="D670" s="21">
        <f>VLOOKUP(C670,journal_to_ledger!B:E,4,FALSE)</f>
        <v/>
      </c>
    </row>
    <row r="671">
      <c r="A671" s="21" t="n">
        <v>2023</v>
      </c>
      <c r="B671" s="22" t="inlineStr">
        <is>
          <t>7 月工资</t>
        </is>
      </c>
      <c r="C671" s="22" t="inlineStr">
        <is>
          <t>组委工资</t>
        </is>
      </c>
      <c r="D671" s="21">
        <f>VLOOKUP(C671,journal_to_ledger!B:E,4,FALSE)</f>
        <v/>
      </c>
    </row>
    <row r="672">
      <c r="A672" s="21" t="n">
        <v>2023</v>
      </c>
      <c r="B672" s="22" t="inlineStr">
        <is>
          <t>8 月工资</t>
        </is>
      </c>
      <c r="C672" s="22" t="inlineStr">
        <is>
          <t>组委工资</t>
        </is>
      </c>
      <c r="D672" s="21">
        <f>VLOOKUP(C672,journal_to_ledger!B:E,4,FALSE)</f>
        <v/>
      </c>
    </row>
    <row r="673">
      <c r="A673" s="21" t="n">
        <v>2023</v>
      </c>
      <c r="B673" s="22" t="inlineStr">
        <is>
          <t>8&amp;9月工资</t>
        </is>
      </c>
      <c r="C673" s="22" t="inlineStr">
        <is>
          <t>组委工资</t>
        </is>
      </c>
      <c r="D673" s="21">
        <f>VLOOKUP(C673,journal_to_ledger!B:E,4,FALSE)</f>
        <v/>
      </c>
    </row>
    <row r="674">
      <c r="A674" s="21" t="n">
        <v>2023</v>
      </c>
      <c r="B674" s="22" t="inlineStr">
        <is>
          <t>9月工资</t>
        </is>
      </c>
      <c r="C674" s="22" t="inlineStr">
        <is>
          <t>组委工资</t>
        </is>
      </c>
      <c r="D674" s="21">
        <f>VLOOKUP(C674,journal_to_ledger!B:E,4,FALSE)</f>
        <v/>
      </c>
    </row>
    <row r="675">
      <c r="A675" s="21" t="n">
        <v>2023</v>
      </c>
      <c r="B675" s="22" t="inlineStr">
        <is>
          <t>10月工资</t>
        </is>
      </c>
      <c r="C675" s="22" t="inlineStr">
        <is>
          <t>组委工资</t>
        </is>
      </c>
      <c r="D675" s="21">
        <f>VLOOKUP(C675,journal_to_ledger!B:E,4,FALSE)</f>
        <v/>
      </c>
    </row>
    <row r="676">
      <c r="A676" s="21" t="n">
        <v>2023</v>
      </c>
      <c r="B676" s="22" t="n"/>
      <c r="C676" s="23" t="inlineStr">
        <is>
          <t>结息</t>
        </is>
      </c>
      <c r="D676" s="21">
        <f>VLOOKUP(C676,journal_to_ledger!B:E,4,FALSE)</f>
        <v/>
      </c>
    </row>
    <row r="677">
      <c r="A677" s="21" t="n">
        <v>2023</v>
      </c>
      <c r="B677" s="22" t="inlineStr">
        <is>
          <t>/</t>
        </is>
      </c>
      <c r="C677" s="23" t="inlineStr">
        <is>
          <t>赞赏</t>
        </is>
      </c>
      <c r="D677" s="21">
        <f>VLOOKUP(C677,journal_to_ledger!B:E,4,FALSE)</f>
        <v/>
      </c>
    </row>
    <row r="678">
      <c r="A678" s="21" t="n">
        <v>2023</v>
      </c>
      <c r="B678" s="22" t="n"/>
      <c r="C678" s="23" t="inlineStr">
        <is>
          <t>赞赏</t>
        </is>
      </c>
      <c r="D678" s="21">
        <f>VLOOKUP(C678,journal_to_ledger!B:E,4,FALSE)</f>
        <v/>
      </c>
    </row>
    <row r="679">
      <c r="A679" s="21" t="n">
        <v>2023</v>
      </c>
      <c r="B679" s="22" t="n"/>
      <c r="C679" s="23" t="inlineStr">
        <is>
          <t>转出到支付宝余额</t>
        </is>
      </c>
      <c r="D679" s="21">
        <f>VLOOKUP(C679,journal_to_ledger!B:E,4,FALSE)</f>
        <v/>
      </c>
    </row>
    <row r="680">
      <c r="A680" s="21" t="n">
        <v>2023</v>
      </c>
      <c r="B680" s="22" t="inlineStr">
        <is>
          <t>研讨屋第八期转写报销</t>
        </is>
      </c>
      <c r="C680" s="22" t="inlineStr">
        <is>
          <t>运营</t>
        </is>
      </c>
      <c r="D680" s="21">
        <f>VLOOKUP(C680,journal_to_ledger!B:E,4,FALSE)</f>
        <v/>
      </c>
    </row>
    <row r="681">
      <c r="A681" s="21" t="n">
        <v>2023</v>
      </c>
      <c r="B681" s="22" t="inlineStr">
        <is>
          <t>嘉宾代金券报销</t>
        </is>
      </c>
      <c r="C681" s="22" t="inlineStr">
        <is>
          <t>运营</t>
        </is>
      </c>
      <c r="D681" s="21">
        <f>VLOOKUP(C681,journal_to_ledger!B:E,4,FALSE)</f>
        <v/>
      </c>
    </row>
    <row r="682">
      <c r="A682" s="21" t="n">
        <v>2023</v>
      </c>
      <c r="B682" s="22" t="inlineStr">
        <is>
          <t>小报童报销</t>
        </is>
      </c>
      <c r="C682" s="22" t="inlineStr">
        <is>
          <t>运营</t>
        </is>
      </c>
      <c r="D682" s="21">
        <f>VLOOKUP(C682,journal_to_ledger!B:E,4,FALSE)</f>
        <v/>
      </c>
    </row>
    <row r="683">
      <c r="A683" s="21" t="n">
        <v>2023</v>
      </c>
      <c r="B683" s="22" t="inlineStr">
        <is>
          <t>caixin订阅报销</t>
        </is>
      </c>
      <c r="C683" s="22" t="inlineStr">
        <is>
          <t>运营</t>
        </is>
      </c>
      <c r="D683" s="21">
        <f>VLOOKUP(C683,journal_to_ledger!B:E,4,FALSE)</f>
        <v/>
      </c>
    </row>
    <row r="684">
      <c r="A684" s="21" t="n">
        <v>2023</v>
      </c>
      <c r="B684" s="22" t="inlineStr">
        <is>
          <t>邮寄报销</t>
        </is>
      </c>
      <c r="C684" s="22" t="inlineStr">
        <is>
          <t>运营</t>
        </is>
      </c>
      <c r="D684" s="21">
        <f>VLOOKUP(C684,journal_to_ledger!B:E,4,FALSE)</f>
        <v/>
      </c>
    </row>
    <row r="685">
      <c r="A685" s="21" t="n">
        <v>2023</v>
      </c>
      <c r="B685" s="22" t="inlineStr">
        <is>
          <t>专题研讨屋第八期报销</t>
        </is>
      </c>
      <c r="C685" s="22" t="inlineStr">
        <is>
          <t>运营</t>
        </is>
      </c>
      <c r="D685" s="21">
        <f>VLOOKUP(C685,journal_to_ledger!B:E,4,FALSE)</f>
        <v/>
      </c>
    </row>
    <row r="686">
      <c r="A686" s="21" t="n">
        <v>2023</v>
      </c>
      <c r="B686" s="22" t="inlineStr">
        <is>
          <t>研讨屋第九期报销</t>
        </is>
      </c>
      <c r="C686" s="22" t="inlineStr">
        <is>
          <t>运营</t>
        </is>
      </c>
      <c r="D686" s="21">
        <f>VLOOKUP(C686,journal_to_ledger!B:E,4,FALSE)</f>
        <v/>
      </c>
    </row>
    <row r="687">
      <c r="A687" s="21" t="n">
        <v>2023</v>
      </c>
      <c r="B687" s="22" t="inlineStr">
        <is>
          <t>邮寄报销追加</t>
        </is>
      </c>
      <c r="C687" s="22" t="inlineStr">
        <is>
          <t>运营</t>
        </is>
      </c>
      <c r="D687" s="21">
        <f>VLOOKUP(C687,journal_to_ledger!B:E,4,FALSE)</f>
        <v/>
      </c>
    </row>
    <row r="688">
      <c r="A688" s="21" t="n">
        <v>2023</v>
      </c>
      <c r="B688" s="22" t="inlineStr">
        <is>
          <t>转账备注:柏渡-报销chatgpt</t>
        </is>
      </c>
      <c r="C688" s="23" t="inlineStr">
        <is>
          <t>运营</t>
        </is>
      </c>
      <c r="D688" s="21">
        <f>VLOOKUP(C688,journal_to_ledger!B:E,4,FALSE)</f>
        <v/>
      </c>
    </row>
    <row r="689">
      <c r="A689" s="21" t="n">
        <v>2023</v>
      </c>
      <c r="B689" s="22" t="inlineStr">
        <is>
          <t>收费项目:对公人民币转账、汇款（含退汇）-对公资金划转跨行同城</t>
        </is>
      </c>
      <c r="C689" s="23" t="inlineStr">
        <is>
          <t>运营</t>
        </is>
      </c>
      <c r="D689" s="21">
        <f>VLOOKUP(C689,journal_to_ledger!B:E,4,FALSE)</f>
        <v/>
      </c>
    </row>
    <row r="690">
      <c r="A690" s="21" t="n">
        <v>2023</v>
      </c>
      <c r="B690" s="22" t="inlineStr">
        <is>
          <t>收费项目:对公人民币转账、汇款（含退汇）-对公资金划转跨行异地</t>
        </is>
      </c>
      <c r="C690" s="23" t="inlineStr">
        <is>
          <t>运营</t>
        </is>
      </c>
      <c r="D690" s="21">
        <f>VLOOKUP(C690,journal_to_ledger!B:E,4,FALSE)</f>
        <v/>
      </c>
    </row>
    <row r="691">
      <c r="A691" s="21" t="n">
        <v>2023</v>
      </c>
      <c r="B691" s="22" t="inlineStr">
        <is>
          <t>服务器</t>
        </is>
      </c>
      <c r="C691" s="22" t="inlineStr">
        <is>
          <t>运营</t>
        </is>
      </c>
      <c r="D691" s="21">
        <f>VLOOKUP(C691,journal_to_ledger!B:E,4,FALSE)</f>
        <v/>
      </c>
    </row>
    <row r="692">
      <c r="A692" s="21" t="n">
        <v>2023</v>
      </c>
      <c r="B692" s="22" t="inlineStr">
        <is>
          <t>服务费</t>
        </is>
      </c>
      <c r="C692" s="22" t="inlineStr">
        <is>
          <t>运营</t>
        </is>
      </c>
      <c r="D692" s="21">
        <f>VLOOKUP(C692,journal_to_ledger!B:E,4,FALSE)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2026-02-23T07:32:20Z</dcterms:created>
  <dcterms:modified xmlns:dcterms="http://purl.org/dc/terms/" xmlns:xsi="http://www.w3.org/2001/XMLSchema-instance" xsi:type="dcterms:W3CDTF">2026-02-24T02:01:04Z</dcterms:modified>
</cp:coreProperties>
</file>